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0b41b5eee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ía_DM" sheetId="1" r:id="R8a51882da8224b7d"/>
    <x:sheet xmlns:r="http://schemas.openxmlformats.org/officeDocument/2006/relationships" name="01_Tablero" sheetId="2" r:id="R91d8c2e63d3b4f6f"/>
    <x:sheet xmlns:r="http://schemas.openxmlformats.org/officeDocument/2006/relationships" name="02_Tiendas" sheetId="3" r:id="R98a78663f185449f"/>
    <x:sheet xmlns:r="http://schemas.openxmlformats.org/officeDocument/2006/relationships" name="03_Visitas" sheetId="4" r:id="R9384a161f012499c"/>
    <x:sheet xmlns:r="http://schemas.openxmlformats.org/officeDocument/2006/relationships" name="04_Acciones" sheetId="5" r:id="Ra96f057deec74fb3"/>
    <x:sheet xmlns:r="http://schemas.openxmlformats.org/officeDocument/2006/relationships" name="05_Soporte" sheetId="6" r:id="R6f17f7b68c6747e8"/>
    <x:sheet xmlns:r="http://schemas.openxmlformats.org/officeDocument/2006/relationships" name="06_Radar_Sistemas" sheetId="7" r:id="R6e33953dee4e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52D"/>
      <x:name val="Carlito"/>
    </x:font>
    <x:font>
      <x:b/>
      <x:sz val="11"/>
      <x:color rgb="FF17352D"/>
      <x:name val="Carlito"/>
    </x:font>
    <x:font>
      <x:b/>
      <x:sz val="10"/>
      <x:color rgb="FFFFFFFF"/>
      <x:name val="Carlito"/>
    </x:font>
    <x:font>
      <x:b/>
      <x:sz val="24"/>
      <x:color rgb="FF006241"/>
      <x:name val="Carlito"/>
    </x:font>
    <x:font>
      <x:sz val="9"/>
      <x:color rgb="FF61716C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6241"/>
      </x:patternFill>
    </x:fill>
    <x:fill>
      <x:patternFill patternType="solid">
        <x:fgColor rgb="FFF8F5EC"/>
      </x:patternFill>
    </x:fill>
    <x:fill>
      <x:patternFill patternType="solid">
        <x:fgColor rgb="FFDDF3E9"/>
      </x:patternFill>
    </x:fill>
    <x:fill>
      <x:patternFill patternType="solid">
        <x:fgColor rgb="FF17352D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f34c78b6a412b" /><Relationship Type="http://schemas.openxmlformats.org/officeDocument/2006/relationships/theme" Target="/xl/theme/theme1.xml" Id="Rd7d116fa14ab4505" /><Relationship Type="http://schemas.openxmlformats.org/officeDocument/2006/relationships/sharedStrings" Target="/xl/sharedStrings.xml" Id="R5715f04a63264c2c" /><Relationship Type="http://schemas.openxmlformats.org/officeDocument/2006/relationships/worksheet" Target="/xl/worksheets/sheet1.xml" Id="R8a51882da8224b7d" /><Relationship Type="http://schemas.openxmlformats.org/officeDocument/2006/relationships/worksheet" Target="/xl/worksheets/sheet2.xml" Id="R91d8c2e63d3b4f6f" /><Relationship Type="http://schemas.openxmlformats.org/officeDocument/2006/relationships/worksheet" Target="/xl/worksheets/sheet3.xml" Id="R98a78663f185449f" /><Relationship Type="http://schemas.openxmlformats.org/officeDocument/2006/relationships/worksheet" Target="/xl/worksheets/sheet4.xml" Id="R9384a161f012499c" /><Relationship Type="http://schemas.openxmlformats.org/officeDocument/2006/relationships/worksheet" Target="/xl/worksheets/sheet5.xml" Id="Ra96f057deec74fb3" /><Relationship Type="http://schemas.openxmlformats.org/officeDocument/2006/relationships/worksheet" Target="/xl/worksheets/sheet6.xml" Id="R6f17f7b68c6747e8" /><Relationship Type="http://schemas.openxmlformats.org/officeDocument/2006/relationships/worksheet" Target="/xl/worksheets/sheet7.xml" Id="R6e33953dee4e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5" hidden="0" customWidth="1"/>
    <x:col min="3" max="3" width="31" hidden="0" customWidth="1"/>
    <x:col min="4" max="4" width="31" hidden="0" customWidth="1"/>
    <x:col min="5" max="5" width="29" hidden="0" customWidth="1"/>
    <x:col min="6" max="6" width="4" hidden="0" customWidth="1"/>
  </x:cols>
  <x:sheetData>
    <x:row r="2" ht="34" customHeight="1">
      <x:c r="B2" s="3" t="str">
        <x:v>PLANNER DM 3.0 · Mejorar la ejecución a través de otros</x:v>
      </x:c>
      <x:c r="C2" s="3" t="str">
        <x:v>PLANNER DM 3.0 · Mejorar la ejecución a través de otros</x:v>
      </x:c>
      <x:c r="D2" s="3" t="str">
        <x:v>PLANNER DM 3.0 · Mejorar la ejecución a través de otros</x:v>
      </x:c>
      <x:c r="E2" s="3" t="str">
        <x:v>PLANNER DM 3.0 · Mejorar la ejecución a través de otros</x:v>
      </x:c>
    </x:row>
    <x:row r="3" ht="26" customHeight="1">
      <x:c r="B3" s="6" t="str">
        <x:v>Simple: 1 tienda cada 10 días · iniciar 08:00 en tienda · terminar para estar en casa máximo 18:00</x:v>
      </x:c>
      <x:c r="C3" s="6" t="str">
        <x:v>Simple: 1 tienda cada 10 días · iniciar 08:00 en tienda · terminar para estar en casa máximo 18:00</x:v>
      </x:c>
      <x:c r="D3" s="6" t="str">
        <x:v>Simple: 1 tienda cada 10 días · iniciar 08:00 en tienda · terminar para estar en casa máximo 18:00</x:v>
      </x:c>
      <x:c r="E3" s="6" t="str">
        <x:v>Simple: 1 tienda cada 10 días · iniciar 08:00 en tienda · terminar para estar en casa máximo 18:00</x:v>
      </x:c>
    </x:row>
    <x:row r="5" ht="22" customHeight="1">
      <x:c r="B5" s="9" t="str">
        <x:v>MI APPROACH COMO DM</x:v>
      </x:c>
      <x:c r="C5" s="9" t="str">
        <x:v>MI APPROACH COMO DM</x:v>
      </x:c>
      <x:c r="D5" s="9" t="str">
        <x:v>MI APPROACH COMO DM</x:v>
      </x:c>
      <x:c r="E5" s="9" t="str">
        <x:v>MI APPROACH COMO DM</x:v>
      </x:c>
    </x:row>
    <x:row r="7" ht="30" customHeight="1">
      <x:c r="B7" s="14" t="str">
        <x:v>Momento</x:v>
      </x:c>
      <x:c r="C7" s="14" t="str">
        <x:v>Haz</x:v>
      </x:c>
      <x:c r="D7" s="14" t="str">
        <x:v>Pregunta de coach</x:v>
      </x:c>
      <x:c r="E7" s="14" t="str">
        <x:v>Salida</x:v>
      </x:c>
    </x:row>
    <x:row r="8" ht="40" customHeight="1">
      <x:c r="B8" s="16" t="str">
        <x:v>Antes</x:v>
      </x:c>
      <x:c r="C8" s="16" t="str">
        <x:v>Cruza dato + retro + observación</x:v>
      </x:c>
      <x:c r="D8" s="16" t="str">
        <x:v>¿Qué sistema está limitando el resultado?</x:v>
      </x:c>
      <x:c r="E8" s="16" t="str">
        <x:v>Un foco</x:v>
      </x:c>
    </x:row>
    <x:row r="9" ht="40" customHeight="1">
      <x:c r="B9" s="16" t="str">
        <x:v>Durante</x:v>
      </x:c>
      <x:c r="C9" s="16" t="str">
        <x:v>Ve el momento crítico; no rescates</x:v>
      </x:c>
      <x:c r="D9" s="16" t="str">
        <x:v>¿Qué harás distinto en la próxima hora?</x:v>
      </x:c>
      <x:c r="E9" s="16" t="str">
        <x:v>Una práctica</x:v>
      </x:c>
    </x:row>
    <x:row r="10" ht="40" customHeight="1">
      <x:c r="B10" s="16" t="str">
        <x:v>Cierre</x:v>
      </x:c>
      <x:c r="C10" s="16" t="str">
        <x:v>Nombra dueño y fecha</x:v>
      </x:c>
      <x:c r="D10" s="16" t="str">
        <x:v>¿Cómo sabremos que sucedió?</x:v>
      </x:c>
      <x:c r="E10" s="16" t="str">
        <x:v>Evidencia</x:v>
      </x:c>
    </x:row>
    <x:row r="11" ht="40" customHeight="1">
      <x:c r="B11" s="16" t="str">
        <x:v>10 días</x:v>
      </x:c>
      <x:c r="C11" s="16" t="str">
        <x:v>Valida y remueve barrera</x:v>
      </x:c>
      <x:c r="D11" s="16" t="str">
        <x:v>¿Qué cambió y qué sigue faltando?</x:v>
      </x:c>
      <x:c r="E11" s="16" t="str">
        <x:v>Decidir: sostener / ajustar / escalar</x:v>
      </x:c>
    </x:row>
    <x:row r="12" ht="40" customHeight="1">
      <x:c r="B12" s="16" t="str">
        <x:v>Siempre</x:v>
      </x:c>
      <x:c r="C12" s="16" t="str">
        <x:v>Enseña a otro a hacerlo</x:v>
      </x:c>
      <x:c r="D12" s="16" t="str">
        <x:v>¿Quién puede replicar este estándar?</x:v>
      </x:c>
      <x:c r="E12" s="16" t="str">
        <x:v>Capacidad instalada</x:v>
      </x:c>
    </x:row>
    <x:row r="15" ht="22" customHeight="1">
      <x:c r="B15" s="9" t="str">
        <x:v>SEMANA SIMPLE</x:v>
      </x:c>
      <x:c r="C15" s="9" t="str">
        <x:v>SEMANA SIMPLE</x:v>
      </x:c>
      <x:c r="D15" s="9" t="str">
        <x:v>SEMANA SIMPLE</x:v>
      </x:c>
      <x:c r="E15" s="9" t="str">
        <x:v>SEMANA SIMPLE</x:v>
      </x:c>
    </x:row>
    <x:row r="17" ht="36" customHeight="1">
      <x:c r="B17" s="18" t="str">
        <x:v>Lunes</x:v>
      </x:c>
      <x:c r="C17" s="18" t="str">
        <x:v>Administrativo + 1–2 tiendas</x:v>
      </x:c>
      <x:c r="D17" s="18" t="str">
        <x:v>Dato, WOE, retro, soporte</x:v>
      </x:c>
      <x:c r="E17" s="18" t="str">
        <x:v>Agenda clara</x:v>
      </x:c>
    </x:row>
    <x:row r="18" ht="36" customHeight="1">
      <x:c r="B18" s="18" t="str">
        <x:v>Martes</x:v>
      </x:c>
      <x:c r="C18" s="18" t="str">
        <x:v>Administrativo + 1–2 tiendas</x:v>
      </x:c>
      <x:c r="D18" s="18" t="str">
        <x:v>Junta Regional; primera del mes presencial</x:v>
      </x:c>
      <x:c r="E18" s="18" t="str">
        <x:v>Bajada en una acción</x:v>
      </x:c>
    </x:row>
    <x:row r="19" ht="36" customHeight="1">
      <x:c r="B19" s="18" t="str">
        <x:v>Mié–Vie</x:v>
      </x:c>
      <x:c r="C19" s="18" t="str">
        <x:v>1–3 tiendas</x:v>
      </x:c>
      <x:c r="D19" s="18" t="str">
        <x:v>Mejora continua / sistema / seguimiento</x:v>
      </x:c>
      <x:c r="E19" s="18" t="str">
        <x:v>Práctica visible</x:v>
      </x:c>
    </x:row>
    <x:row r="20" ht="36" customHeight="1">
      <x:c r="B20" s="18" t="str">
        <x:v>Sábado</x:v>
      </x:c>
      <x:c r="C20" s="18" t="str">
        <x:v>1–3 tiendas</x:v>
      </x:c>
      <x:c r="D20" s="18" t="str">
        <x:v>Experiencia, bebida y recuperación en pico</x:v>
      </x:c>
      <x:c r="E20" s="18" t="str">
        <x:v>Cliente observado</x:v>
      </x:c>
    </x:row>
    <x:row r="21" ht="36" customHeight="1">
      <x:c r="B21" s="18" t="str">
        <x:v>Domingo</x:v>
      </x:c>
      <x:c r="C21" s="18" t="str">
        <x:v>1–3 tiendas</x:v>
      </x:c>
      <x:c r="D21" s="18" t="str">
        <x:v>WOE, inventario, cierre de semana</x:v>
      </x:c>
      <x:c r="E21" s="18" t="str">
        <x:v>Evidencia para lunes</x:v>
      </x:c>
    </x:row>
    <x:row r="22" ht="36" customHeight="1">
      <x:c r="B22" s="18" t="str">
        <x:v>Viernes PM</x:v>
      </x:c>
      <x:c r="C22" s="18" t="str">
        <x:v>Desarrollo DM</x:v>
      </x:c>
      <x:c r="D22" s="18" t="str">
        <x:v>¿Cómo habilité a otro sin rescatarlo?</x:v>
      </x:c>
      <x:c r="E22" s="18" t="str">
        <x:v>Aprendizaje DM</x:v>
      </x:c>
    </x:row>
    <x:row r="23" ht="36" customHeight="1">
      <x:c r="B23" s="18" t="str">
        <x:v>Mary · Cosmopol</x:v>
      </x:c>
      <x:c r="C23" s="18" t="str">
        <x:v>Desarrollo</x:v>
      </x:c>
      <x:c r="D23" s="18" t="str">
        <x:v>Cobertura + actividades de desarrollo</x:v>
      </x:c>
      <x:c r="E23" s="18" t="str">
        <x:v>Capacidad y seguimiento</x:v>
      </x:c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" hidden="0" customWidth="1"/>
  </x:cols>
  <x:sheetData>
    <x:row r="2" ht="34" customHeight="1">
      <x:c r="B2" s="3" t="str">
        <x:v>TABLERO · Solo lo que debes revisar</x:v>
      </x:c>
      <x:c r="C2" s="3" t="str">
        <x:v>TABLERO · Solo lo que debes revisar</x:v>
      </x:c>
      <x:c r="D2" s="3" t="str">
        <x:v>TABLERO · Solo lo que debes revisar</x:v>
      </x:c>
      <x:c r="E2" s="3" t="str">
        <x:v>TABLERO · Solo lo que debes revisar</x:v>
      </x:c>
      <x:c r="F2" s="3" t="str">
        <x:v>TABLERO · Solo lo que debes revisar</x:v>
      </x:c>
      <x:c r="G2" s="3" t="str">
        <x:v>TABLERO · Solo lo que debes revisar</x:v>
      </x:c>
    </x:row>
    <x:row r="3" ht="26" customHeight="1">
      <x:c r="B3" s="6" t="str">
        <x:v>Actualiza Visitas, Acciones y Soporte. El tablero te indica cobertura, seguimiento y barreras.</x:v>
      </x:c>
      <x:c r="C3" s="6" t="str">
        <x:v>Actualiza Visitas, Acciones y Soporte. El tablero te indica cobertura, seguimiento y barreras.</x:v>
      </x:c>
      <x:c r="D3" s="6" t="str">
        <x:v>Actualiza Visitas, Acciones y Soporte. El tablero te indica cobertura, seguimiento y barreras.</x:v>
      </x:c>
      <x:c r="E3" s="6" t="str">
        <x:v>Actualiza Visitas, Acciones y Soporte. El tablero te indica cobertura, seguimiento y barreras.</x:v>
      </x:c>
      <x:c r="F3" s="6" t="str">
        <x:v>Actualiza Visitas, Acciones y Soporte. El tablero te indica cobertura, seguimiento y barreras.</x:v>
      </x:c>
      <x:c r="G3" s="6" t="str">
        <x:v>Actualiza Visitas, Acciones y Soporte. El tablero te indica cobertura, seguimiento y barreras.</x:v>
      </x:c>
    </x:row>
    <x:row r="5" ht="22" customHeight="1">
      <x:c r="B5" s="9" t="str">
        <x:v>CONTROL DEL CICLO</x:v>
      </x:c>
      <x:c r="C5" s="9" t="str">
        <x:v>CONTROL DEL CICLO</x:v>
      </x:c>
      <x:c r="D5" s="9" t="str">
        <x:v>CONTROL DEL CICLO</x:v>
      </x:c>
      <x:c r="E5" s="9" t="str">
        <x:v>CONTROL DEL CICLO</x:v>
      </x:c>
      <x:c r="F5" s="9" t="str">
        <x:v>CONTROL DEL CICLO</x:v>
      </x:c>
      <x:c r="G5" s="9" t="str">
        <x:v>CONTROL DEL CICLO</x:v>
      </x:c>
    </x:row>
    <x:row r="7">
      <x:c r="B7" s="19" t="str">
        <x:v>Visitas planificadas</x:v>
      </x:c>
      <x:c r="C7" s="19" t="str">
        <x:v>Tiendas en ciclo</x:v>
      </x:c>
      <x:c r="D7" s="19" t="str">
        <x:v>Seguimientos 10 días</x:v>
      </x:c>
      <x:c r="E7" s="19" t="str">
        <x:v>CDD</x:v>
      </x:c>
      <x:c r="F7" s="19" t="str">
        <x:v>Acciones abiertas</x:v>
      </x:c>
      <x:c r="G7" s="19" t="str">
        <x:v>Soporte abierto</x:v>
      </x:c>
    </x:row>
    <x:row r="8">
      <x:c r="B8" s="21" t="n">
        <x:f>COUNTA('03_Visitas'!A8:A207)</x:f>
        <x:v>130</x:v>
      </x:c>
      <x:c r="C8" s="21" t="n">
        <x:f>COUNTA('02_Tiendas'!B6:B15)</x:f>
        <x:v>10</x:v>
      </x:c>
      <x:c r="D8" s="21" t="n">
        <x:f>COUNTIF('03_Visitas'!G8:G207,"Seguimiento 10 días")</x:f>
        <x:v>21</x:v>
      </x:c>
      <x:c r="E8" s="21" t="n">
        <x:f>COUNTIF('03_Visitas'!G8:G207,"Conversación de desempeño (CDD)")</x:f>
        <x:v>31</x:v>
      </x:c>
      <x:c r="F8" s="21" t="n">
        <x:f>COUNTIF('04_Acciones'!K8:K107,"&lt;&gt;Cerrada")-COUNTBLANK('04_Acciones'!A8:A107)</x:f>
        <x:v>3</x:v>
      </x:c>
      <x:c r="G8" s="21" t="n">
        <x:f>COUNTIF('05_Soporte'!J8:J107,"&lt;&gt;Cerrado")-COUNTBLANK('05_Soporte'!A8:A107)</x:f>
        <x:v>4</x:v>
      </x:c>
    </x:row>
    <x:row r="9">
      <x:c r="B9" s="23" t="str">
        <x:v>1 tienda cada 10 días</x:v>
      </x:c>
      <x:c r="C9" s="23" t="str">
        <x:v>10 tiendas</x:v>
      </x:c>
      <x:c r="D9" s="23" t="str">
        <x:v>validar, no asumir</x:v>
      </x:c>
      <x:c r="E9" s="23" t="str">
        <x:v>octubre</x:v>
      </x:c>
      <x:c r="F9" s="23" t="str">
        <x:v>no perder foco</x:v>
      </x:c>
      <x:c r="G9" s="23" t="str">
        <x:v>remover barreras</x:v>
      </x:c>
    </x:row>
    <x:row r="12" ht="22" customHeight="1">
      <x:c r="B12" s="9" t="str">
        <x:v>REVISIÓN SEMANAL · 15 minutos</x:v>
      </x:c>
      <x:c r="C12" s="9" t="str">
        <x:v>REVISIÓN SEMANAL · 15 minutos</x:v>
      </x:c>
      <x:c r="D12" s="9" t="str">
        <x:v>REVISIÓN SEMANAL · 15 minutos</x:v>
      </x:c>
      <x:c r="E12" s="9" t="str">
        <x:v>REVISIÓN SEMANAL · 15 minutos</x:v>
      </x:c>
      <x:c r="F12" s="9" t="str">
        <x:v>REVISIÓN SEMANAL · 15 minutos</x:v>
      </x:c>
      <x:c r="G12" s="9" t="str">
        <x:v>REVISIÓN SEMANAL · 15 minutos</x:v>
      </x:c>
    </x:row>
    <x:row r="14" ht="30" customHeight="1">
      <x:c r="B14" s="14" t="str">
        <x:v>Pregunta</x:v>
      </x:c>
      <x:c r="C14" s="14" t="str">
        <x:v>L</x:v>
      </x:c>
      <x:c r="D14" s="14" t="str">
        <x:v>M</x:v>
      </x:c>
      <x:c r="E14" s="14" t="str">
        <x:v>V</x:v>
      </x:c>
      <x:c r="F14" s="14" t="str">
        <x:v>D</x:v>
      </x:c>
      <x:c r="G14" s="14" t="str">
        <x:v>Resultado</x:v>
      </x:c>
    </x:row>
    <x:row r="15" ht="34" customHeight="1">
      <x:c r="B15" s="16" t="str">
        <x:v>¿Qué sistema falla?</x:v>
      </x:c>
      <x:c r="C15" s="16" t="str">
        <x:v>Dato</x:v>
      </x:c>
      <x:c r="D15" s="16" t="str">
        <x:v>Regional</x:v>
      </x:c>
      <x:c r="E15" s="16" t="str">
        <x:v>Validar</x:v>
      </x:c>
      <x:c r="F15" s="16" t="str">
        <x:v>WOE</x:v>
      </x:c>
      <x:c r="G15" s="16" t="str">
        <x:v>Foco de semana</x:v>
      </x:c>
    </x:row>
    <x:row r="16" ht="34" customHeight="1">
      <x:c r="B16" s="16" t="str">
        <x:v>¿Qué hará el líder?</x:v>
      </x:c>
      <x:c r="C16" s="16" t="str">
        <x:v>Priorizar</x:v>
      </x:c>
      <x:c r="D16" s="16" t="str">
        <x:v>Alinear</x:v>
      </x:c>
      <x:c r="E16" s="16" t="str">
        <x:v>Practicar</x:v>
      </x:c>
      <x:c r="F16" s="16" t="str">
        <x:v>Evidencia</x:v>
      </x:c>
      <x:c r="G16" s="16" t="str">
        <x:v>Capacidad</x:v>
      </x:c>
    </x:row>
    <x:row r="17" ht="34" customHeight="1">
      <x:c r="B17" s="16" t="str">
        <x:v>¿Qué apoyo necesita?</x:v>
      </x:c>
      <x:c r="C17" s="16" t="str">
        <x:v>Escalar</x:v>
      </x:c>
      <x:c r="D17" s="16" t="str">
        <x:v>Asignar</x:v>
      </x:c>
      <x:c r="E17" s="16" t="str">
        <x:v>Confirmar</x:v>
      </x:c>
      <x:c r="F17" s="16" t="str">
        <x:v>Cerrar</x:v>
      </x:c>
      <x:c r="G17" s="16" t="str">
        <x:v>Barrera removida</x:v>
      </x:c>
    </x:row>
    <x:row r="18" ht="34" customHeight="1">
      <x:c r="B18" s="16" t="str">
        <x:v>¿Qué haré mejor como DM?</x:v>
      </x:c>
      <x:c r="C18" s="16" t="str">
        <x:v>Preparar</x:v>
      </x:c>
      <x:c r="D18" s="16" t="str">
        <x:v>Preguntar</x:v>
      </x:c>
      <x:c r="E18" s="16" t="str">
        <x:v>No rescatar</x:v>
      </x:c>
      <x:c r="F18" s="16" t="str">
        <x:v>Reflexionar</x:v>
      </x:c>
      <x:c r="G18" s="16" t="str">
        <x:v>Aprendizaje</x:v>
      </x:c>
    </x:row>
  </x:sheetData>
  <x:mergeCells>
    <x:mergeCell ref="B2:G2"/>
    <x:mergeCell ref="B3:G3"/>
    <x:mergeCell ref="B5:G5"/>
    <x:mergeCell ref="B12:G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12" hidden="0" customWidth="1"/>
    <x:col min="3" max="3" width="25" hidden="0" customWidth="1"/>
    <x:col min="4" max="4" width="19" hidden="0" customWidth="1"/>
    <x:col min="5" max="5" width="24" hidden="0" customWidth="1"/>
    <x:col min="6" max="6" width="14" hidden="0" customWidth="1"/>
    <x:col min="7" max="7" width="28" hidden="0" customWidth="1"/>
    <x:col min="8" max="8" width="4" hidden="0" customWidth="1"/>
  </x:cols>
  <x:sheetData>
    <x:row r="2" ht="34" customHeight="1">
      <x:c r="B2" s="3" t="str">
        <x:v>PORTAFOLIO · Un ciclo claro por tienda</x:v>
      </x:c>
      <x:c r="C2" s="3" t="str">
        <x:v>PORTAFOLIO · Un ciclo claro por tienda</x:v>
      </x:c>
      <x:c r="D2" s="3" t="str">
        <x:v>PORTAFOLIO · Un ciclo claro por tienda</x:v>
      </x:c>
      <x:c r="E2" s="3" t="str">
        <x:v>PORTAFOLIO · Un ciclo claro por tienda</x:v>
      </x:c>
      <x:c r="F2" s="3" t="str">
        <x:v>PORTAFOLIO · Un ciclo claro por tienda</x:v>
      </x:c>
      <x:c r="G2" s="3" t="str">
        <x:v>PORTAFOLIO · Un ciclo claro por tienda</x:v>
      </x:c>
    </x:row>
    <x:row r="3" ht="26" customHeight="1">
      <x:c r="B3" s="6" t="str">
        <x:v>Actualiza la señal de datos antes de iniciar la semana. Mary está marcada para desarrollo y cobertura.</x:v>
      </x:c>
      <x:c r="C3" s="6" t="str">
        <x:v>Actualiza la señal de datos antes de iniciar la semana. Mary está marcada para desarrollo y cobertura.</x:v>
      </x:c>
      <x:c r="D3" s="6" t="str">
        <x:v>Actualiza la señal de datos antes de iniciar la semana. Mary está marcada para desarrollo y cobertura.</x:v>
      </x:c>
      <x:c r="E3" s="6" t="str">
        <x:v>Actualiza la señal de datos antes de iniciar la semana. Mary está marcada para desarrollo y cobertura.</x:v>
      </x:c>
      <x:c r="F3" s="6" t="str">
        <x:v>Actualiza la señal de datos antes de iniciar la semana. Mary está marcada para desarrollo y cobertura.</x:v>
      </x:c>
      <x:c r="G3" s="6" t="str">
        <x:v>Actualiza la señal de datos antes de iniciar la semana. Mary está marcada para desarrollo y cobertura.</x:v>
      </x:c>
    </x:row>
    <x:row r="5" ht="30" customHeight="1">
      <x:c r="B5" s="14" t="str">
        <x:v>CeCo</x:v>
      </x:c>
      <x:c r="C5" s="14" t="str">
        <x:v>Tienda</x:v>
      </x:c>
      <x:c r="D5" s="14" t="str">
        <x:v>Gerente</x:v>
      </x:c>
      <x:c r="E5" s="14" t="str">
        <x:v>Zona</x:v>
      </x:c>
      <x:c r="F5" s="14" t="str">
        <x:v>Prioridad</x:v>
      </x:c>
      <x:c r="G5" s="14" t="str">
        <x:v>Enfoque / desarrollo</x:v>
      </x:c>
    </x:row>
    <x:row r="6" ht="30" customHeight="1">
      <x:c r="B6" s="16" t="str">
        <x:v>38333</x:v>
      </x:c>
      <x:c r="C6" s="16" t="str">
        <x:v>Izcalli Mega</x:v>
      </x:c>
      <x:c r="D6" s="16" t="str">
        <x:v>Brandon García</x:v>
      </x:c>
      <x:c r="E6" s="16" t="str">
        <x:v>Izcalli</x:v>
      </x:c>
      <x:c r="F6" s="16" t="str">
        <x:v>Media</x:v>
      </x:c>
      <x:c r="G6" s="16" t="str"/>
    </x:row>
    <x:row r="7" ht="30" customHeight="1">
      <x:c r="B7" s="16" t="str">
        <x:v>38339</x:v>
      </x:c>
      <x:c r="C7" s="16" t="str">
        <x:v>San Marcos</x:v>
      </x:c>
      <x:c r="D7" s="16" t="str">
        <x:v>Diego Conde</x:v>
      </x:c>
      <x:c r="E7" s="16" t="str">
        <x:v>Izcalli</x:v>
      </x:c>
      <x:c r="F7" s="16" t="str">
        <x:v>Media</x:v>
      </x:c>
      <x:c r="G7" s="16" t="str"/>
    </x:row>
    <x:row r="8" ht="30" customHeight="1">
      <x:c r="B8" s="16" t="str">
        <x:v>38368</x:v>
      </x:c>
      <x:c r="C8" s="16" t="str">
        <x:v>Luna Park</x:v>
      </x:c>
      <x:c r="D8" s="16" t="str">
        <x:v>Joel Herrera</x:v>
      </x:c>
      <x:c r="E8" s="16" t="str">
        <x:v>Izcalli</x:v>
      </x:c>
      <x:c r="F8" s="16" t="str">
        <x:v>Alta</x:v>
      </x:c>
      <x:c r="G8" s="16" t="str"/>
    </x:row>
    <x:row r="9" ht="30" customHeight="1">
      <x:c r="B9" s="16" t="str">
        <x:v>38862</x:v>
      </x:c>
      <x:c r="C9" s="16" t="str">
        <x:v>San Miguel Izcalli</x:v>
      </x:c>
      <x:c r="D9" s="16" t="str">
        <x:v>Daniela Peralta</x:v>
      </x:c>
      <x:c r="E9" s="16" t="str">
        <x:v>Izcalli</x:v>
      </x:c>
      <x:c r="F9" s="16" t="str">
        <x:v>Estable</x:v>
      </x:c>
      <x:c r="G9" s="16" t="str"/>
    </x:row>
    <x:row r="10" ht="30" customHeight="1">
      <x:c r="B10" s="16" t="str">
        <x:v>38894</x:v>
      </x:c>
      <x:c r="C10" s="16" t="str">
        <x:v>Galerías Perinorte</x:v>
      </x:c>
      <x:c r="D10" s="16" t="str">
        <x:v>Marlene García</x:v>
      </x:c>
      <x:c r="E10" s="16" t="str">
        <x:v>Izcalli</x:v>
      </x:c>
      <x:c r="F10" s="16" t="str">
        <x:v>Media</x:v>
      </x:c>
      <x:c r="G10" s="16" t="str"/>
    </x:row>
    <x:row r="11" ht="30" customHeight="1">
      <x:c r="B11" s="16" t="str">
        <x:v>38401</x:v>
      </x:c>
      <x:c r="C11" s="16" t="str">
        <x:v>CC Coacalco</x:v>
      </x:c>
      <x:c r="D11" s="16" t="str">
        <x:v>Brenda Hernández</x:v>
      </x:c>
      <x:c r="E11" s="16" t="str">
        <x:v>Coacalco–Ecatepec</x:v>
      </x:c>
      <x:c r="F11" s="16" t="str">
        <x:v>Media</x:v>
      </x:c>
      <x:c r="G11" s="16" t="str"/>
    </x:row>
    <x:row r="12" ht="30" customHeight="1">
      <x:c r="B12" s="16" t="str">
        <x:v>38456</x:v>
      </x:c>
      <x:c r="C12" s="16" t="str">
        <x:v>Plaza las Flores</x:v>
      </x:c>
      <x:c r="D12" s="16" t="str">
        <x:v>Ramon Espinosa</x:v>
      </x:c>
      <x:c r="E12" s="16" t="str">
        <x:v>Coacalco–Ecatepec</x:v>
      </x:c>
      <x:c r="F12" s="16" t="str">
        <x:v>Media</x:v>
      </x:c>
      <x:c r="G12" s="16" t="str"/>
    </x:row>
    <x:row r="13" ht="30" customHeight="1">
      <x:c r="B13" s="16" t="str">
        <x:v>38515</x:v>
      </x:c>
      <x:c r="C13" s="16" t="str">
        <x:v>Patio Ecatepec</x:v>
      </x:c>
      <x:c r="D13" s="16" t="str">
        <x:v>Itzel Dayana Llamas</x:v>
      </x:c>
      <x:c r="E13" s="16" t="str">
        <x:v>Coacalco–Ecatepec</x:v>
      </x:c>
      <x:c r="F13" s="16" t="str">
        <x:v>Alta</x:v>
      </x:c>
      <x:c r="G13" s="16" t="str"/>
    </x:row>
    <x:row r="14" ht="30" customHeight="1">
      <x:c r="B14" s="16" t="str">
        <x:v>38604</x:v>
      </x:c>
      <x:c r="C14" s="16" t="str">
        <x:v>Cosmopol</x:v>
      </x:c>
      <x:c r="D14" s="16" t="str">
        <x:v>Mary</x:v>
      </x:c>
      <x:c r="E14" s="16" t="str">
        <x:v>Coacalco–Ecatepec</x:v>
      </x:c>
      <x:c r="F14" s="16" t="str">
        <x:v>Desarrollo</x:v>
      </x:c>
      <x:c r="G14" s="16" t="str">
        <x:v>Cobertura + actividades de desarrollo</x:v>
      </x:c>
    </x:row>
    <x:row r="15" ht="30" customHeight="1">
      <x:c r="B15" s="16" t="str">
        <x:v>43193</x:v>
      </x:c>
      <x:c r="C15" s="16" t="str">
        <x:v>Cosmopol N1</x:v>
      </x:c>
      <x:c r="D15" s="16" t="str">
        <x:v>Luis Pérez</x:v>
      </x:c>
      <x:c r="E15" s="16" t="str">
        <x:v>Coacalco–Ecatepec</x:v>
      </x:c>
      <x:c r="F15" s="16" t="str">
        <x:v>Alta</x:v>
      </x:c>
      <x:c r="G15" s="16" t="str"/>
    </x:row>
  </x:sheetData>
  <x:mergeCells>
    <x:mergeCell ref="B2:G2"/>
    <x:mergeCell ref="B3:G3"/>
  </x:mergeCells>
  <x:dataValidations count="1">
    <x:dataValidation type="list" sqref="F6:F105">
      <x:formula1>"Alta,Media,Estable,Desarrollo"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23" hidden="0" customWidth="1"/>
    <x:col min="5" max="5" width="19" hidden="0" customWidth="1"/>
    <x:col min="6" max="6" width="22" hidden="0" customWidth="1"/>
    <x:col min="7" max="7" width="28" hidden="0" customWidth="1"/>
    <x:col min="8" max="8" width="22" hidden="0" customWidth="1"/>
    <x:col min="9" max="9" width="42" hidden="0" customWidth="1"/>
    <x:col min="10" max="10" width="30" hidden="0" customWidth="1"/>
    <x:col min="11" max="11" width="20" hidden="0" customWidth="1"/>
    <x:col min="12" max="12" width="16" hidden="0" customWidth="1"/>
    <x:col min="13" max="13" width="15" hidden="0" customWidth="1"/>
    <x:col min="14" max="14" width="4" hidden="0" customWidth="1"/>
  </x:cols>
  <x:sheetData>
    <x:row r="2" ht="34" customHeight="1">
      <x:c r="A2" s="3" t="str">
        <x:v>VISITAS · Preparar, practicar, validar</x:v>
      </x:c>
      <x:c r="B2" s="3" t="str">
        <x:v>VISITAS · Preparar, practicar, validar</x:v>
      </x:c>
      <x:c r="C2" s="3" t="str">
        <x:v>VISITAS · Preparar, practicar, validar</x:v>
      </x:c>
      <x:c r="D2" s="3" t="str">
        <x:v>VISITAS · Preparar, practicar, validar</x:v>
      </x:c>
      <x:c r="E2" s="3" t="str">
        <x:v>VISITAS · Preparar, practicar, validar</x:v>
      </x:c>
      <x:c r="F2" s="3" t="str">
        <x:v>VISITAS · Preparar, practicar, validar</x:v>
      </x:c>
      <x:c r="G2" s="3" t="str">
        <x:v>VISITAS · Preparar, practicar, validar</x:v>
      </x:c>
      <x:c r="H2" s="3" t="str">
        <x:v>VISITAS · Preparar, practicar, validar</x:v>
      </x:c>
      <x:c r="I2" s="3" t="str">
        <x:v>VISITAS · Preparar, practicar, validar</x:v>
      </x:c>
      <x:c r="J2" s="3" t="str">
        <x:v>VISITAS · Preparar, practicar, validar</x:v>
      </x:c>
      <x:c r="K2" s="3" t="str">
        <x:v>VISITAS · Preparar, practicar, validar</x:v>
      </x:c>
      <x:c r="L2" s="3" t="str">
        <x:v>VISITAS · Preparar, practicar, validar</x:v>
      </x:c>
      <x:c r="M2" s="3" t="str">
        <x:v>VISITAS · Preparar, practicar, validar</x:v>
      </x:c>
    </x:row>
    <x:row r="3" ht="26" customHeight="1">
      <x:c r="A3" s="6" t="str">
        <x:v>No uses esta hoja para registrar todo. Registra solamente lo que cambia la ejecución.</x:v>
      </x:c>
      <x:c r="B3" s="6" t="str">
        <x:v>No uses esta hoja para registrar todo. Registra solamente lo que cambia la ejecución.</x:v>
      </x:c>
      <x:c r="C3" s="6" t="str">
        <x:v>No uses esta hoja para registrar todo. Registra solamente lo que cambia la ejecución.</x:v>
      </x:c>
      <x:c r="D3" s="6" t="str">
        <x:v>No uses esta hoja para registrar todo. Registra solamente lo que cambia la ejecución.</x:v>
      </x:c>
      <x:c r="E3" s="6" t="str">
        <x:v>No uses esta hoja para registrar todo. Registra solamente lo que cambia la ejecución.</x:v>
      </x:c>
      <x:c r="F3" s="6" t="str">
        <x:v>No uses esta hoja para registrar todo. Registra solamente lo que cambia la ejecución.</x:v>
      </x:c>
      <x:c r="G3" s="6" t="str">
        <x:v>No uses esta hoja para registrar todo. Registra solamente lo que cambia la ejecución.</x:v>
      </x:c>
      <x:c r="H3" s="6" t="str">
        <x:v>No uses esta hoja para registrar todo. Registra solamente lo que cambia la ejecución.</x:v>
      </x:c>
      <x:c r="I3" s="6" t="str">
        <x:v>No uses esta hoja para registrar todo. Registra solamente lo que cambia la ejecución.</x:v>
      </x:c>
      <x:c r="J3" s="6" t="str">
        <x:v>No uses esta hoja para registrar todo. Registra solamente lo que cambia la ejecución.</x:v>
      </x:c>
      <x:c r="K3" s="6" t="str">
        <x:v>No uses esta hoja para registrar todo. Registra solamente lo que cambia la ejecución.</x:v>
      </x:c>
      <x:c r="L3" s="6" t="str">
        <x:v>No uses esta hoja para registrar todo. Registra solamente lo que cambia la ejecución.</x:v>
      </x:c>
      <x:c r="M3" s="6" t="str">
        <x:v>No uses esta hoja para registrar todo. Registra solamente lo que cambia la ejecución.</x:v>
      </x:c>
    </x:row>
    <x:row r="6" ht="30" customHeight="1">
      <x:c r="A6" s="14" t="str">
        <x:v>Fecha</x:v>
      </x:c>
      <x:c r="B6" s="14" t="str">
        <x:v>Campaña</x:v>
      </x:c>
      <x:c r="C6" s="14" t="str">
        <x:v>CeCo</x:v>
      </x:c>
      <x:c r="D6" s="14" t="str">
        <x:v>Tienda</x:v>
      </x:c>
      <x:c r="E6" s="14" t="str">
        <x:v>Gerente</x:v>
      </x:c>
      <x:c r="F6" s="14" t="str">
        <x:v>Zona</x:v>
      </x:c>
      <x:c r="G6" s="14" t="str">
        <x:v>Tipo de visita</x:v>
      </x:c>
      <x:c r="H6" s="14" t="str">
        <x:v>Foco</x:v>
      </x:c>
      <x:c r="I6" s="14" t="str">
        <x:v>Pregunta</x:v>
      </x:c>
      <x:c r="J6" s="14" t="str">
        <x:v>Práctica / compromiso</x:v>
      </x:c>
      <x:c r="K6" s="14" t="str">
        <x:v>Evidencia</x:v>
      </x:c>
      <x:c r="L6" s="14" t="str">
        <x:v>Validar en 10 días</x:v>
      </x:c>
      <x:c r="M6" s="14" t="str">
        <x:v>Estado</x:v>
      </x:c>
    </x:row>
    <x:row r="8" ht="34" customHeight="1">
      <x:c r="A8" s="26" t="str">
        <x:v>24/08/2026</x:v>
      </x:c>
      <x:c r="B8" s="26" t="str">
        <x:v>Fall 26</x:v>
      </x:c>
      <x:c r="C8" s="26" t="str">
        <x:v>38333</x:v>
      </x:c>
      <x:c r="D8" s="26" t="str">
        <x:v>Izcalli Mega</x:v>
      </x:c>
      <x:c r="E8" s="26" t="str">
        <x:v>Brandon García</x:v>
      </x:c>
      <x:c r="F8" s="26" t="str">
        <x:v>Izcalli</x:v>
      </x:c>
      <x:c r="G8" s="26" t="str">
        <x:v>Mejora continua</x:v>
      </x:c>
      <x:c r="H8" s="26" t="str">
        <x:v>Experiencia</x:v>
      </x:c>
      <x:c r="I8" s="26" t="str">
        <x:v>¿Qué hará distinto el líder en la próxima hora?</x:v>
      </x:c>
      <x:c r="J8" s="26" t="str"/>
      <x:c r="K8" s="26" t="str"/>
      <x:c r="L8" s="26" t="str">
        <x:v>03/09/2026</x:v>
      </x:c>
      <x:c r="M8" s="26" t="str">
        <x:v>Planeada</x:v>
      </x:c>
    </x:row>
    <x:row r="9" ht="34" customHeight="1">
      <x:c r="A9" s="26" t="str">
        <x:v>03/09/2026</x:v>
      </x:c>
      <x:c r="B9" s="26" t="str">
        <x:v>Fall 26</x:v>
      </x:c>
      <x:c r="C9" s="26" t="str">
        <x:v>38333</x:v>
      </x:c>
      <x:c r="D9" s="26" t="str">
        <x:v>Izcalli Mega</x:v>
      </x:c>
      <x:c r="E9" s="26" t="str">
        <x:v>Brandon García</x:v>
      </x:c>
      <x:c r="F9" s="26" t="str">
        <x:v>Izcalli</x:v>
      </x:c>
      <x:c r="G9" s="26" t="str">
        <x:v>Sistema crítico</x:v>
      </x:c>
      <x:c r="H9" s="26" t="str">
        <x:v>Experiencia</x:v>
      </x:c>
      <x:c r="I9" s="26" t="str">
        <x:v>¿Dónde se rompe el estándar, quién es dueño y cuál es la evidencia?</x:v>
      </x:c>
      <x:c r="J9" s="26" t="str"/>
      <x:c r="K9" s="26" t="str"/>
      <x:c r="L9" s="26" t="str">
        <x:v>13/09/2026</x:v>
      </x:c>
      <x:c r="M9" s="26" t="str">
        <x:v>Planeada</x:v>
      </x:c>
    </x:row>
    <x:row r="10" ht="34" customHeight="1">
      <x:c r="A10" s="26" t="str">
        <x:v>13/09/2026</x:v>
      </x:c>
      <x:c r="B10" s="26" t="str">
        <x:v>Fall 26</x:v>
      </x:c>
      <x:c r="C10" s="26" t="str">
        <x:v>38333</x:v>
      </x:c>
      <x:c r="D10" s="26" t="str">
        <x:v>Izcalli Mega</x:v>
      </x:c>
      <x:c r="E10" s="26" t="str">
        <x:v>Brandon García</x:v>
      </x:c>
      <x:c r="F10" s="26" t="str">
        <x:v>Izcalli</x:v>
      </x:c>
      <x:c r="G10" s="26" t="str">
        <x:v>Seguimiento 10 días</x:v>
      </x:c>
      <x:c r="H10" s="26" t="str">
        <x:v>Experiencia</x:v>
      </x:c>
      <x:c r="I10" s="26" t="str">
        <x:v>¿Qué cambió, qué no funcionó y qué obstáculo debemos quitar?</x:v>
      </x:c>
      <x:c r="J10" s="26" t="str"/>
      <x:c r="K10" s="26" t="str"/>
      <x:c r="L10" s="26" t="str">
        <x:v>23/09/2026</x:v>
      </x:c>
      <x:c r="M10" s="26" t="str">
        <x:v>Planeada</x:v>
      </x:c>
    </x:row>
    <x:row r="11" ht="34" customHeight="1">
      <x:c r="A11" s="26" t="str">
        <x:v>23/09/2026</x:v>
      </x:c>
      <x:c r="B11" s="26" t="str">
        <x:v>Fall 26</x:v>
      </x:c>
      <x:c r="C11" s="26" t="str">
        <x:v>38333</x:v>
      </x:c>
      <x:c r="D11" s="26" t="str">
        <x:v>Izcalli Mega</x:v>
      </x:c>
      <x:c r="E11" s="26" t="str">
        <x:v>Brandon García</x:v>
      </x:c>
      <x:c r="F11" s="26" t="str">
        <x:v>Izcalli</x:v>
      </x:c>
      <x:c r="G11" s="26" t="str">
        <x:v>Desarrollo y talento</x:v>
      </x:c>
      <x:c r="H11" s="26" t="str">
        <x:v>Experiencia</x:v>
      </x:c>
      <x:c r="I11" s="26" t="str">
        <x:v>¿Quién necesita práctica, acompañamiento o cobertura para crecer?</x:v>
      </x:c>
      <x:c r="J11" s="26" t="str"/>
      <x:c r="K11" s="26" t="str"/>
      <x:c r="L11" s="26" t="str">
        <x:v>03/10/2026</x:v>
      </x:c>
      <x:c r="M11" s="26" t="str">
        <x:v>Planeada</x:v>
      </x:c>
    </x:row>
    <x:row r="12" ht="34" customHeight="1">
      <x:c r="A12" s="26" t="str">
        <x:v>03/10/2026</x:v>
      </x:c>
      <x:c r="B12" s="26" t="str">
        <x:v>Fall 26</x:v>
      </x:c>
      <x:c r="C12" s="26" t="str">
        <x:v>38333</x:v>
      </x:c>
      <x:c r="D12" s="26" t="str">
        <x:v>Izcalli Mega</x:v>
      </x:c>
      <x:c r="E12" s="26" t="str">
        <x:v>Brandon García</x:v>
      </x:c>
      <x:c r="F12" s="26" t="str">
        <x:v>Izcalli</x:v>
      </x:c>
      <x:c r="G12" s="26" t="str">
        <x:v>Conversación de desempeño (CDD)</x:v>
      </x:c>
      <x:c r="H12" s="26" t="str">
        <x:v>Experiencia</x:v>
      </x:c>
      <x:c r="I12" s="26" t="str">
        <x:v>¿Qué fortaleza, expectativa y siguiente paso quedarán documentados?</x:v>
      </x:c>
      <x:c r="J12" s="26" t="str"/>
      <x:c r="K12" s="26" t="str"/>
      <x:c r="L12" s="26" t="str">
        <x:v>13/10/2026</x:v>
      </x:c>
      <x:c r="M12" s="26" t="str">
        <x:v>Planeada</x:v>
      </x:c>
    </x:row>
    <x:row r="13" ht="34" customHeight="1">
      <x:c r="A13" s="26" t="str">
        <x:v>13/10/2026</x:v>
      </x:c>
      <x:c r="B13" s="26" t="str">
        <x:v>Fall 26</x:v>
      </x:c>
      <x:c r="C13" s="26" t="str">
        <x:v>38333</x:v>
      </x:c>
      <x:c r="D13" s="26" t="str">
        <x:v>Izcalli Mega</x:v>
      </x:c>
      <x:c r="E13" s="26" t="str">
        <x:v>Brandon García</x:v>
      </x:c>
      <x:c r="F13" s="26" t="str">
        <x:v>Izcalli</x:v>
      </x:c>
      <x:c r="G13" s="26" t="str">
        <x:v>Conversación de desempeño (CDD)</x:v>
      </x:c>
      <x:c r="H13" s="26" t="str">
        <x:v>Experiencia</x:v>
      </x:c>
      <x:c r="I13" s="26" t="str">
        <x:v>¿Qué fortaleza, expectativa y siguiente paso quedarán documentados?</x:v>
      </x:c>
      <x:c r="J13" s="26" t="str"/>
      <x:c r="K13" s="26" t="str"/>
      <x:c r="L13" s="26" t="str">
        <x:v>23/10/2026</x:v>
      </x:c>
      <x:c r="M13" s="26" t="str">
        <x:v>Planeada</x:v>
      </x:c>
    </x:row>
    <x:row r="14" ht="34" customHeight="1">
      <x:c r="A14" s="26" t="str">
        <x:v>23/10/2026</x:v>
      </x:c>
      <x:c r="B14" s="26" t="str">
        <x:v>Fall 26</x:v>
      </x:c>
      <x:c r="C14" s="26" t="str">
        <x:v>38333</x:v>
      </x:c>
      <x:c r="D14" s="26" t="str">
        <x:v>Izcalli Mega</x:v>
      </x:c>
      <x:c r="E14" s="26" t="str">
        <x:v>Brandon García</x:v>
      </x:c>
      <x:c r="F14" s="26" t="str">
        <x:v>Izcalli</x:v>
      </x:c>
      <x:c r="G14" s="26" t="str">
        <x:v>Conversación de desempeño (CDD)</x:v>
      </x:c>
      <x:c r="H14" s="26" t="str">
        <x:v>Experiencia</x:v>
      </x:c>
      <x:c r="I14" s="26" t="str">
        <x:v>¿Qué fortaleza, expectativa y siguiente paso quedarán documentados?</x:v>
      </x:c>
      <x:c r="J14" s="26" t="str"/>
      <x:c r="K14" s="26" t="str"/>
      <x:c r="L14" s="26" t="str">
        <x:v>02/11/2026</x:v>
      </x:c>
      <x:c r="M14" s="26" t="str">
        <x:v>Planeada</x:v>
      </x:c>
    </x:row>
    <x:row r="15" ht="34" customHeight="1">
      <x:c r="A15" s="26" t="str">
        <x:v>02/11/2026</x:v>
      </x:c>
      <x:c r="B15" s="26" t="str">
        <x:v>Fall 26</x:v>
      </x:c>
      <x:c r="C15" s="26" t="str">
        <x:v>38333</x:v>
      </x:c>
      <x:c r="D15" s="26" t="str">
        <x:v>Izcalli Mega</x:v>
      </x:c>
      <x:c r="E15" s="26" t="str">
        <x:v>Brandon García</x:v>
      </x:c>
      <x:c r="F15" s="26" t="str">
        <x:v>Izcalli</x:v>
      </x:c>
      <x:c r="G15" s="26" t="str">
        <x:v>Desarrollo y talento</x:v>
      </x:c>
      <x:c r="H15" s="26" t="str">
        <x:v>Experiencia</x:v>
      </x:c>
      <x:c r="I15" s="26" t="str">
        <x:v>¿Quién necesita práctica, acompañamiento o cobertura para crecer?</x:v>
      </x:c>
      <x:c r="J15" s="26" t="str"/>
      <x:c r="K15" s="26" t="str"/>
      <x:c r="L15" s="26" t="str">
        <x:v>12/11/2026</x:v>
      </x:c>
      <x:c r="M15" s="26" t="str">
        <x:v>Planeada</x:v>
      </x:c>
    </x:row>
    <x:row r="16" ht="34" customHeight="1">
      <x:c r="A16" s="26" t="str">
        <x:v>12/11/2026</x:v>
      </x:c>
      <x:c r="B16" s="26" t="str">
        <x:v>Xmas 26</x:v>
      </x:c>
      <x:c r="C16" s="26" t="str">
        <x:v>38333</x:v>
      </x:c>
      <x:c r="D16" s="26" t="str">
        <x:v>Izcalli Mega</x:v>
      </x:c>
      <x:c r="E16" s="26" t="str">
        <x:v>Brandon García</x:v>
      </x:c>
      <x:c r="F16" s="26" t="str">
        <x:v>Izcalli</x:v>
      </x:c>
      <x:c r="G16" s="26" t="str">
        <x:v>Mejora continua</x:v>
      </x:c>
      <x:c r="H16" s="26" t="str">
        <x:v>Experiencia</x:v>
      </x:c>
      <x:c r="I16" s="26" t="str">
        <x:v>¿Qué hará distinto el líder en la próxima hora?</x:v>
      </x:c>
      <x:c r="J16" s="26" t="str"/>
      <x:c r="K16" s="26" t="str"/>
      <x:c r="L16" s="26" t="str">
        <x:v>22/11/2026</x:v>
      </x:c>
      <x:c r="M16" s="26" t="str">
        <x:v>Planeada</x:v>
      </x:c>
    </x:row>
    <x:row r="17" ht="34" customHeight="1">
      <x:c r="A17" s="26" t="str">
        <x:v>22/11/2026</x:v>
      </x:c>
      <x:c r="B17" s="26" t="str">
        <x:v>Xmas 26</x:v>
      </x:c>
      <x:c r="C17" s="26" t="str">
        <x:v>38333</x:v>
      </x:c>
      <x:c r="D17" s="26" t="str">
        <x:v>Izcalli Mega</x:v>
      </x:c>
      <x:c r="E17" s="26" t="str">
        <x:v>Brandon García</x:v>
      </x:c>
      <x:c r="F17" s="26" t="str">
        <x:v>Izcalli</x:v>
      </x:c>
      <x:c r="G17" s="26" t="str">
        <x:v>Sistema crítico</x:v>
      </x:c>
      <x:c r="H17" s="26" t="str">
        <x:v>Experiencia</x:v>
      </x:c>
      <x:c r="I17" s="26" t="str">
        <x:v>¿Dónde se rompe el estándar, quién es dueño y cuál es la evidencia?</x:v>
      </x:c>
      <x:c r="J17" s="26" t="str"/>
      <x:c r="K17" s="26" t="str"/>
      <x:c r="L17" s="26" t="str">
        <x:v>02/12/2026</x:v>
      </x:c>
      <x:c r="M17" s="26" t="str">
        <x:v>Planeada</x:v>
      </x:c>
    </x:row>
    <x:row r="18" ht="34" customHeight="1">
      <x:c r="A18" s="26" t="str">
        <x:v>02/12/2026</x:v>
      </x:c>
      <x:c r="B18" s="26" t="str">
        <x:v>Xmas 26</x:v>
      </x:c>
      <x:c r="C18" s="26" t="str">
        <x:v>38333</x:v>
      </x:c>
      <x:c r="D18" s="26" t="str">
        <x:v>Izcalli Mega</x:v>
      </x:c>
      <x:c r="E18" s="26" t="str">
        <x:v>Brandon García</x:v>
      </x:c>
      <x:c r="F18" s="26" t="str">
        <x:v>Izcalli</x:v>
      </x:c>
      <x:c r="G18" s="26" t="str">
        <x:v>Seguimiento 10 días</x:v>
      </x:c>
      <x:c r="H18" s="26" t="str">
        <x:v>Experiencia</x:v>
      </x:c>
      <x:c r="I18" s="26" t="str">
        <x:v>¿Qué cambió, qué no funcionó y qué obstáculo debemos quitar?</x:v>
      </x:c>
      <x:c r="J18" s="26" t="str"/>
      <x:c r="K18" s="26" t="str"/>
      <x:c r="L18" s="26" t="str">
        <x:v>12/12/2026</x:v>
      </x:c>
      <x:c r="M18" s="26" t="str">
        <x:v>Planeada</x:v>
      </x:c>
    </x:row>
    <x:row r="19" ht="34" customHeight="1">
      <x:c r="A19" s="26" t="str">
        <x:v>12/12/2026</x:v>
      </x:c>
      <x:c r="B19" s="26" t="str">
        <x:v>Xmas 26</x:v>
      </x:c>
      <x:c r="C19" s="26" t="str">
        <x:v>38333</x:v>
      </x:c>
      <x:c r="D19" s="26" t="str">
        <x:v>Izcalli Mega</x:v>
      </x:c>
      <x:c r="E19" s="26" t="str">
        <x:v>Brandon García</x:v>
      </x:c>
      <x:c r="F19" s="26" t="str">
        <x:v>Izcalli</x:v>
      </x:c>
      <x:c r="G19" s="26" t="str">
        <x:v>Desarrollo y talento</x:v>
      </x:c>
      <x:c r="H19" s="26" t="str">
        <x:v>Experiencia</x:v>
      </x:c>
      <x:c r="I19" s="26" t="str">
        <x:v>¿Quién necesita práctica, acompañamiento o cobertura para crecer?</x:v>
      </x:c>
      <x:c r="J19" s="26" t="str"/>
      <x:c r="K19" s="26" t="str"/>
      <x:c r="L19" s="26" t="str">
        <x:v>22/12/2026</x:v>
      </x:c>
      <x:c r="M19" s="26" t="str">
        <x:v>Planeada</x:v>
      </x:c>
    </x:row>
    <x:row r="20" ht="34" customHeight="1">
      <x:c r="A20" s="26" t="str">
        <x:v>22/12/2026</x:v>
      </x:c>
      <x:c r="B20" s="26" t="str">
        <x:v>Xmas 26</x:v>
      </x:c>
      <x:c r="C20" s="26" t="str">
        <x:v>38333</x:v>
      </x:c>
      <x:c r="D20" s="26" t="str">
        <x:v>Izcalli Mega</x:v>
      </x:c>
      <x:c r="E20" s="26" t="str">
        <x:v>Brandon García</x:v>
      </x:c>
      <x:c r="F20" s="26" t="str">
        <x:v>Izcalli</x:v>
      </x:c>
      <x:c r="G20" s="26" t="str">
        <x:v>Mejora continua</x:v>
      </x:c>
      <x:c r="H20" s="26" t="str">
        <x:v>Experiencia</x:v>
      </x:c>
      <x:c r="I20" s="26" t="str">
        <x:v>¿Qué hará distinto el líder en la próxima hora?</x:v>
      </x:c>
      <x:c r="J20" s="26" t="str"/>
      <x:c r="K20" s="26" t="str"/>
      <x:c r="L20" s="26" t="str">
        <x:v>01/01/2027</x:v>
      </x:c>
      <x:c r="M20" s="26" t="str">
        <x:v>Planeada</x:v>
      </x:c>
    </x:row>
    <x:row r="21" ht="34" customHeight="1">
      <x:c r="A21" s="26" t="str">
        <x:v>25/08/2026</x:v>
      </x:c>
      <x:c r="B21" s="26" t="str">
        <x:v>Fall 26</x:v>
      </x:c>
      <x:c r="C21" s="26" t="str">
        <x:v>38401</x:v>
      </x:c>
      <x:c r="D21" s="26" t="str">
        <x:v>CC Coacalco</x:v>
      </x:c>
      <x:c r="E21" s="26" t="str">
        <x:v>Brenda Hernández</x:v>
      </x:c>
      <x:c r="F21" s="26" t="str">
        <x:v>Coacalco–Ecatepec</x:v>
      </x:c>
      <x:c r="G21" s="26" t="str">
        <x:v>Sistema crítico</x:v>
      </x:c>
      <x:c r="H21" s="26" t="str">
        <x:v>Conexión</x:v>
      </x:c>
      <x:c r="I21" s="26" t="str">
        <x:v>¿Dónde se rompe el estándar, quién es dueño y cuál es la evidencia?</x:v>
      </x:c>
      <x:c r="J21" s="26" t="str"/>
      <x:c r="K21" s="26" t="str"/>
      <x:c r="L21" s="26" t="str">
        <x:v>04/09/2026</x:v>
      </x:c>
      <x:c r="M21" s="26" t="str">
        <x:v>Planeada</x:v>
      </x:c>
    </x:row>
    <x:row r="22" ht="34" customHeight="1">
      <x:c r="A22" s="26" t="str">
        <x:v>04/09/2026</x:v>
      </x:c>
      <x:c r="B22" s="26" t="str">
        <x:v>Fall 26</x:v>
      </x:c>
      <x:c r="C22" s="26" t="str">
        <x:v>38401</x:v>
      </x:c>
      <x:c r="D22" s="26" t="str">
        <x:v>CC Coacalco</x:v>
      </x:c>
      <x:c r="E22" s="26" t="str">
        <x:v>Brenda Hernández</x:v>
      </x:c>
      <x:c r="F22" s="26" t="str">
        <x:v>Coacalco–Ecatepec</x:v>
      </x:c>
      <x:c r="G22" s="26" t="str">
        <x:v>Seguimiento 10 días</x:v>
      </x:c>
      <x:c r="H22" s="26" t="str">
        <x:v>Conexión</x:v>
      </x:c>
      <x:c r="I22" s="26" t="str">
        <x:v>¿Qué cambió, qué no funcionó y qué obstáculo debemos quitar?</x:v>
      </x:c>
      <x:c r="J22" s="26" t="str"/>
      <x:c r="K22" s="26" t="str"/>
      <x:c r="L22" s="26" t="str">
        <x:v>14/09/2026</x:v>
      </x:c>
      <x:c r="M22" s="26" t="str">
        <x:v>Planeada</x:v>
      </x:c>
    </x:row>
    <x:row r="23" ht="34" customHeight="1">
      <x:c r="A23" s="26" t="str">
        <x:v>14/09/2026</x:v>
      </x:c>
      <x:c r="B23" s="26" t="str">
        <x:v>Fall 26</x:v>
      </x:c>
      <x:c r="C23" s="26" t="str">
        <x:v>38401</x:v>
      </x:c>
      <x:c r="D23" s="26" t="str">
        <x:v>CC Coacalco</x:v>
      </x:c>
      <x:c r="E23" s="26" t="str">
        <x:v>Brenda Hernández</x:v>
      </x:c>
      <x:c r="F23" s="26" t="str">
        <x:v>Coacalco–Ecatepec</x:v>
      </x:c>
      <x:c r="G23" s="26" t="str">
        <x:v>Desarrollo y talento</x:v>
      </x:c>
      <x:c r="H23" s="26" t="str">
        <x:v>Conexión</x:v>
      </x:c>
      <x:c r="I23" s="26" t="str">
        <x:v>¿Quién necesita práctica, acompañamiento o cobertura para crecer?</x:v>
      </x:c>
      <x:c r="J23" s="26" t="str"/>
      <x:c r="K23" s="26" t="str"/>
      <x:c r="L23" s="26" t="str">
        <x:v>24/09/2026</x:v>
      </x:c>
      <x:c r="M23" s="26" t="str">
        <x:v>Planeada</x:v>
      </x:c>
    </x:row>
    <x:row r="24" ht="34" customHeight="1">
      <x:c r="A24" s="26" t="str">
        <x:v>24/09/2026</x:v>
      </x:c>
      <x:c r="B24" s="26" t="str">
        <x:v>Fall 26</x:v>
      </x:c>
      <x:c r="C24" s="26" t="str">
        <x:v>38401</x:v>
      </x:c>
      <x:c r="D24" s="26" t="str">
        <x:v>CC Coacalco</x:v>
      </x:c>
      <x:c r="E24" s="26" t="str">
        <x:v>Brenda Hernández</x:v>
      </x:c>
      <x:c r="F24" s="26" t="str">
        <x:v>Coacalco–Ecatepec</x:v>
      </x:c>
      <x:c r="G24" s="26" t="str">
        <x:v>Mejora continua</x:v>
      </x:c>
      <x:c r="H24" s="26" t="str">
        <x:v>Conexión</x:v>
      </x:c>
      <x:c r="I24" s="26" t="str">
        <x:v>¿Qué hará distinto el líder en la próxima hora?</x:v>
      </x:c>
      <x:c r="J24" s="26" t="str"/>
      <x:c r="K24" s="26" t="str"/>
      <x:c r="L24" s="26" t="str">
        <x:v>04/10/2026</x:v>
      </x:c>
      <x:c r="M24" s="26" t="str">
        <x:v>Planeada</x:v>
      </x:c>
    </x:row>
    <x:row r="25" ht="34" customHeight="1">
      <x:c r="A25" s="26" t="str">
        <x:v>04/10/2026</x:v>
      </x:c>
      <x:c r="B25" s="26" t="str">
        <x:v>Fall 26</x:v>
      </x:c>
      <x:c r="C25" s="26" t="str">
        <x:v>38401</x:v>
      </x:c>
      <x:c r="D25" s="26" t="str">
        <x:v>CC Coacalco</x:v>
      </x:c>
      <x:c r="E25" s="26" t="str">
        <x:v>Brenda Hernández</x:v>
      </x:c>
      <x:c r="F25" s="26" t="str">
        <x:v>Coacalco–Ecatepec</x:v>
      </x:c>
      <x:c r="G25" s="26" t="str">
        <x:v>Conversación de desempeño (CDD)</x:v>
      </x:c>
      <x:c r="H25" s="26" t="str">
        <x:v>Conexión</x:v>
      </x:c>
      <x:c r="I25" s="26" t="str">
        <x:v>¿Qué fortaleza, expectativa y siguiente paso quedarán documentados?</x:v>
      </x:c>
      <x:c r="J25" s="26" t="str"/>
      <x:c r="K25" s="26" t="str"/>
      <x:c r="L25" s="26" t="str">
        <x:v>14/10/2026</x:v>
      </x:c>
      <x:c r="M25" s="26" t="str">
        <x:v>Planeada</x:v>
      </x:c>
    </x:row>
    <x:row r="26" ht="34" customHeight="1">
      <x:c r="A26" s="26" t="str">
        <x:v>14/10/2026</x:v>
      </x:c>
      <x:c r="B26" s="26" t="str">
        <x:v>Fall 26</x:v>
      </x:c>
      <x:c r="C26" s="26" t="str">
        <x:v>38401</x:v>
      </x:c>
      <x:c r="D26" s="26" t="str">
        <x:v>CC Coacalco</x:v>
      </x:c>
      <x:c r="E26" s="26" t="str">
        <x:v>Brenda Hernández</x:v>
      </x:c>
      <x:c r="F26" s="26" t="str">
        <x:v>Coacalco–Ecatepec</x:v>
      </x:c>
      <x:c r="G26" s="26" t="str">
        <x:v>Conversación de desempeño (CDD)</x:v>
      </x:c>
      <x:c r="H26" s="26" t="str">
        <x:v>Conexión</x:v>
      </x:c>
      <x:c r="I26" s="26" t="str">
        <x:v>¿Qué fortaleza, expectativa y siguiente paso quedarán documentados?</x:v>
      </x:c>
      <x:c r="J26" s="26" t="str"/>
      <x:c r="K26" s="26" t="str"/>
      <x:c r="L26" s="26" t="str">
        <x:v>24/10/2026</x:v>
      </x:c>
      <x:c r="M26" s="26" t="str">
        <x:v>Planeada</x:v>
      </x:c>
    </x:row>
    <x:row r="27" ht="34" customHeight="1">
      <x:c r="A27" s="26" t="str">
        <x:v>24/10/2026</x:v>
      </x:c>
      <x:c r="B27" s="26" t="str">
        <x:v>Fall 26</x:v>
      </x:c>
      <x:c r="C27" s="26" t="str">
        <x:v>38401</x:v>
      </x:c>
      <x:c r="D27" s="26" t="str">
        <x:v>CC Coacalco</x:v>
      </x:c>
      <x:c r="E27" s="26" t="str">
        <x:v>Brenda Hernández</x:v>
      </x:c>
      <x:c r="F27" s="26" t="str">
        <x:v>Coacalco–Ecatepec</x:v>
      </x:c>
      <x:c r="G27" s="26" t="str">
        <x:v>Conversación de desempeño (CDD)</x:v>
      </x:c>
      <x:c r="H27" s="26" t="str">
        <x:v>Conexión</x:v>
      </x:c>
      <x:c r="I27" s="26" t="str">
        <x:v>¿Qué fortaleza, expectativa y siguiente paso quedarán documentados?</x:v>
      </x:c>
      <x:c r="J27" s="26" t="str"/>
      <x:c r="K27" s="26" t="str"/>
      <x:c r="L27" s="26" t="str">
        <x:v>03/11/2026</x:v>
      </x:c>
      <x:c r="M27" s="26" t="str">
        <x:v>Planeada</x:v>
      </x:c>
    </x:row>
    <x:row r="28" ht="34" customHeight="1">
      <x:c r="A28" s="26" t="str">
        <x:v>03/11/2026</x:v>
      </x:c>
      <x:c r="B28" s="26" t="str">
        <x:v>Xmas 26</x:v>
      </x:c>
      <x:c r="C28" s="26" t="str">
        <x:v>38401</x:v>
      </x:c>
      <x:c r="D28" s="26" t="str">
        <x:v>CC Coacalco</x:v>
      </x:c>
      <x:c r="E28" s="26" t="str">
        <x:v>Brenda Hernández</x:v>
      </x:c>
      <x:c r="F28" s="26" t="str">
        <x:v>Coacalco–Ecatepec</x:v>
      </x:c>
      <x:c r="G28" s="26" t="str">
        <x:v>Mejora continua</x:v>
      </x:c>
      <x:c r="H28" s="26" t="str">
        <x:v>Conexión</x:v>
      </x:c>
      <x:c r="I28" s="26" t="str">
        <x:v>¿Qué hará distinto el líder en la próxima hora?</x:v>
      </x:c>
      <x:c r="J28" s="26" t="str"/>
      <x:c r="K28" s="26" t="str"/>
      <x:c r="L28" s="26" t="str">
        <x:v>13/11/2026</x:v>
      </x:c>
      <x:c r="M28" s="26" t="str">
        <x:v>Planeada</x:v>
      </x:c>
    </x:row>
    <x:row r="29" ht="34" customHeight="1">
      <x:c r="A29" s="26" t="str">
        <x:v>13/11/2026</x:v>
      </x:c>
      <x:c r="B29" s="26" t="str">
        <x:v>Xmas 26</x:v>
      </x:c>
      <x:c r="C29" s="26" t="str">
        <x:v>38401</x:v>
      </x:c>
      <x:c r="D29" s="26" t="str">
        <x:v>CC Coacalco</x:v>
      </x:c>
      <x:c r="E29" s="26" t="str">
        <x:v>Brenda Hernández</x:v>
      </x:c>
      <x:c r="F29" s="26" t="str">
        <x:v>Coacalco–Ecatepec</x:v>
      </x:c>
      <x:c r="G29" s="26" t="str">
        <x:v>Sistema crítico</x:v>
      </x:c>
      <x:c r="H29" s="26" t="str">
        <x:v>Conexión</x:v>
      </x:c>
      <x:c r="I29" s="26" t="str">
        <x:v>¿Dónde se rompe el estándar, quién es dueño y cuál es la evidencia?</x:v>
      </x:c>
      <x:c r="J29" s="26" t="str"/>
      <x:c r="K29" s="26" t="str"/>
      <x:c r="L29" s="26" t="str">
        <x:v>23/11/2026</x:v>
      </x:c>
      <x:c r="M29" s="26" t="str">
        <x:v>Planeada</x:v>
      </x:c>
    </x:row>
    <x:row r="30" ht="34" customHeight="1">
      <x:c r="A30" s="26" t="str">
        <x:v>23/11/2026</x:v>
      </x:c>
      <x:c r="B30" s="26" t="str">
        <x:v>Xmas 26</x:v>
      </x:c>
      <x:c r="C30" s="26" t="str">
        <x:v>38401</x:v>
      </x:c>
      <x:c r="D30" s="26" t="str">
        <x:v>CC Coacalco</x:v>
      </x:c>
      <x:c r="E30" s="26" t="str">
        <x:v>Brenda Hernández</x:v>
      </x:c>
      <x:c r="F30" s="26" t="str">
        <x:v>Coacalco–Ecatepec</x:v>
      </x:c>
      <x:c r="G30" s="26" t="str">
        <x:v>Seguimiento 10 días</x:v>
      </x:c>
      <x:c r="H30" s="26" t="str">
        <x:v>Conexión</x:v>
      </x:c>
      <x:c r="I30" s="26" t="str">
        <x:v>¿Qué cambió, qué no funcionó y qué obstáculo debemos quitar?</x:v>
      </x:c>
      <x:c r="J30" s="26" t="str"/>
      <x:c r="K30" s="26" t="str"/>
      <x:c r="L30" s="26" t="str">
        <x:v>03/12/2026</x:v>
      </x:c>
      <x:c r="M30" s="26" t="str">
        <x:v>Planeada</x:v>
      </x:c>
    </x:row>
    <x:row r="31" ht="34" customHeight="1">
      <x:c r="A31" s="26" t="str">
        <x:v>03/12/2026</x:v>
      </x:c>
      <x:c r="B31" s="26" t="str">
        <x:v>Xmas 26</x:v>
      </x:c>
      <x:c r="C31" s="26" t="str">
        <x:v>38401</x:v>
      </x:c>
      <x:c r="D31" s="26" t="str">
        <x:v>CC Coacalco</x:v>
      </x:c>
      <x:c r="E31" s="26" t="str">
        <x:v>Brenda Hernández</x:v>
      </x:c>
      <x:c r="F31" s="26" t="str">
        <x:v>Coacalco–Ecatepec</x:v>
      </x:c>
      <x:c r="G31" s="26" t="str">
        <x:v>Desarrollo y talento</x:v>
      </x:c>
      <x:c r="H31" s="26" t="str">
        <x:v>Conexión</x:v>
      </x:c>
      <x:c r="I31" s="26" t="str">
        <x:v>¿Quién necesita práctica, acompañamiento o cobertura para crecer?</x:v>
      </x:c>
      <x:c r="J31" s="26" t="str"/>
      <x:c r="K31" s="26" t="str"/>
      <x:c r="L31" s="26" t="str">
        <x:v>13/12/2026</x:v>
      </x:c>
      <x:c r="M31" s="26" t="str">
        <x:v>Planeada</x:v>
      </x:c>
    </x:row>
    <x:row r="32" ht="34" customHeight="1">
      <x:c r="A32" s="26" t="str">
        <x:v>13/12/2026</x:v>
      </x:c>
      <x:c r="B32" s="26" t="str">
        <x:v>Xmas 26</x:v>
      </x:c>
      <x:c r="C32" s="26" t="str">
        <x:v>38401</x:v>
      </x:c>
      <x:c r="D32" s="26" t="str">
        <x:v>CC Coacalco</x:v>
      </x:c>
      <x:c r="E32" s="26" t="str">
        <x:v>Brenda Hernández</x:v>
      </x:c>
      <x:c r="F32" s="26" t="str">
        <x:v>Coacalco–Ecatepec</x:v>
      </x:c>
      <x:c r="G32" s="26" t="str">
        <x:v>Mejora continua</x:v>
      </x:c>
      <x:c r="H32" s="26" t="str">
        <x:v>Conexión</x:v>
      </x:c>
      <x:c r="I32" s="26" t="str">
        <x:v>¿Qué hará distinto el líder en la próxima hora?</x:v>
      </x:c>
      <x:c r="J32" s="26" t="str"/>
      <x:c r="K32" s="26" t="str"/>
      <x:c r="L32" s="26" t="str">
        <x:v>23/12/2026</x:v>
      </x:c>
      <x:c r="M32" s="26" t="str">
        <x:v>Planeada</x:v>
      </x:c>
    </x:row>
    <x:row r="33" ht="34" customHeight="1">
      <x:c r="A33" s="26" t="str">
        <x:v>23/12/2026</x:v>
      </x:c>
      <x:c r="B33" s="26" t="str">
        <x:v>Xmas 26</x:v>
      </x:c>
      <x:c r="C33" s="26" t="str">
        <x:v>38401</x:v>
      </x:c>
      <x:c r="D33" s="26" t="str">
        <x:v>CC Coacalco</x:v>
      </x:c>
      <x:c r="E33" s="26" t="str">
        <x:v>Brenda Hernández</x:v>
      </x:c>
      <x:c r="F33" s="26" t="str">
        <x:v>Coacalco–Ecatepec</x:v>
      </x:c>
      <x:c r="G33" s="26" t="str">
        <x:v>Sistema crítico</x:v>
      </x:c>
      <x:c r="H33" s="26" t="str">
        <x:v>Conexión</x:v>
      </x:c>
      <x:c r="I33" s="26" t="str">
        <x:v>¿Dónde se rompe el estándar, quién es dueño y cuál es la evidencia?</x:v>
      </x:c>
      <x:c r="J33" s="26" t="str"/>
      <x:c r="K33" s="26" t="str"/>
      <x:c r="L33" s="26" t="str">
        <x:v>02/01/2027</x:v>
      </x:c>
      <x:c r="M33" s="26" t="str">
        <x:v>Planeada</x:v>
      </x:c>
    </x:row>
    <x:row r="34" ht="34" customHeight="1">
      <x:c r="A34" s="26" t="str">
        <x:v>26/08/2026</x:v>
      </x:c>
      <x:c r="B34" s="26" t="str">
        <x:v>Fall 26</x:v>
      </x:c>
      <x:c r="C34" s="26" t="str">
        <x:v>38339</x:v>
      </x:c>
      <x:c r="D34" s="26" t="str">
        <x:v>San Marcos</x:v>
      </x:c>
      <x:c r="E34" s="26" t="str">
        <x:v>Diego Conde</x:v>
      </x:c>
      <x:c r="F34" s="26" t="str">
        <x:v>Izcalli</x:v>
      </x:c>
      <x:c r="G34" s="26" t="str">
        <x:v>Seguimiento 10 días</x:v>
      </x:c>
      <x:c r="H34" s="26" t="str">
        <x:v>Bebida</x:v>
      </x:c>
      <x:c r="I34" s="26" t="str">
        <x:v>¿Qué cambió, qué no funcionó y qué obstáculo debemos quitar?</x:v>
      </x:c>
      <x:c r="J34" s="26" t="str"/>
      <x:c r="K34" s="26" t="str"/>
      <x:c r="L34" s="26" t="str">
        <x:v>05/09/2026</x:v>
      </x:c>
      <x:c r="M34" s="26" t="str">
        <x:v>Planeada</x:v>
      </x:c>
    </x:row>
    <x:row r="35" ht="34" customHeight="1">
      <x:c r="A35" s="26" t="str">
        <x:v>05/09/2026</x:v>
      </x:c>
      <x:c r="B35" s="26" t="str">
        <x:v>Fall 26</x:v>
      </x:c>
      <x:c r="C35" s="26" t="str">
        <x:v>38339</x:v>
      </x:c>
      <x:c r="D35" s="26" t="str">
        <x:v>San Marcos</x:v>
      </x:c>
      <x:c r="E35" s="26" t="str">
        <x:v>Diego Conde</x:v>
      </x:c>
      <x:c r="F35" s="26" t="str">
        <x:v>Izcalli</x:v>
      </x:c>
      <x:c r="G35" s="26" t="str">
        <x:v>Desarrollo y talento</x:v>
      </x:c>
      <x:c r="H35" s="26" t="str">
        <x:v>Bebida</x:v>
      </x:c>
      <x:c r="I35" s="26" t="str">
        <x:v>¿Quién necesita práctica, acompañamiento o cobertura para crecer?</x:v>
      </x:c>
      <x:c r="J35" s="26" t="str"/>
      <x:c r="K35" s="26" t="str"/>
      <x:c r="L35" s="26" t="str">
        <x:v>15/09/2026</x:v>
      </x:c>
      <x:c r="M35" s="26" t="str">
        <x:v>Planeada</x:v>
      </x:c>
    </x:row>
    <x:row r="36" ht="34" customHeight="1">
      <x:c r="A36" s="26" t="str">
        <x:v>15/09/2026</x:v>
      </x:c>
      <x:c r="B36" s="26" t="str">
        <x:v>Fall 26</x:v>
      </x:c>
      <x:c r="C36" s="26" t="str">
        <x:v>38339</x:v>
      </x:c>
      <x:c r="D36" s="26" t="str">
        <x:v>San Marcos</x:v>
      </x:c>
      <x:c r="E36" s="26" t="str">
        <x:v>Diego Conde</x:v>
      </x:c>
      <x:c r="F36" s="26" t="str">
        <x:v>Izcalli</x:v>
      </x:c>
      <x:c r="G36" s="26" t="str">
        <x:v>Mejora continua</x:v>
      </x:c>
      <x:c r="H36" s="26" t="str">
        <x:v>Bebida</x:v>
      </x:c>
      <x:c r="I36" s="26" t="str">
        <x:v>¿Qué hará distinto el líder en la próxima hora?</x:v>
      </x:c>
      <x:c r="J36" s="26" t="str"/>
      <x:c r="K36" s="26" t="str"/>
      <x:c r="L36" s="26" t="str">
        <x:v>25/09/2026</x:v>
      </x:c>
      <x:c r="M36" s="26" t="str">
        <x:v>Planeada</x:v>
      </x:c>
    </x:row>
    <x:row r="37" ht="34" customHeight="1">
      <x:c r="A37" s="26" t="str">
        <x:v>25/09/2026</x:v>
      </x:c>
      <x:c r="B37" s="26" t="str">
        <x:v>Fall 26</x:v>
      </x:c>
      <x:c r="C37" s="26" t="str">
        <x:v>38339</x:v>
      </x:c>
      <x:c r="D37" s="26" t="str">
        <x:v>San Marcos</x:v>
      </x:c>
      <x:c r="E37" s="26" t="str">
        <x:v>Diego Conde</x:v>
      </x:c>
      <x:c r="F37" s="26" t="str">
        <x:v>Izcalli</x:v>
      </x:c>
      <x:c r="G37" s="26" t="str">
        <x:v>Sistema crítico</x:v>
      </x:c>
      <x:c r="H37" s="26" t="str">
        <x:v>Bebida</x:v>
      </x:c>
      <x:c r="I37" s="26" t="str">
        <x:v>¿Dónde se rompe el estándar, quién es dueño y cuál es la evidencia?</x:v>
      </x:c>
      <x:c r="J37" s="26" t="str"/>
      <x:c r="K37" s="26" t="str"/>
      <x:c r="L37" s="26" t="str">
        <x:v>05/10/2026</x:v>
      </x:c>
      <x:c r="M37" s="26" t="str">
        <x:v>Planeada</x:v>
      </x:c>
    </x:row>
    <x:row r="38" ht="34" customHeight="1">
      <x:c r="A38" s="26" t="str">
        <x:v>05/10/2026</x:v>
      </x:c>
      <x:c r="B38" s="26" t="str">
        <x:v>Fall 26</x:v>
      </x:c>
      <x:c r="C38" s="26" t="str">
        <x:v>38339</x:v>
      </x:c>
      <x:c r="D38" s="26" t="str">
        <x:v>San Marcos</x:v>
      </x:c>
      <x:c r="E38" s="26" t="str">
        <x:v>Diego Conde</x:v>
      </x:c>
      <x:c r="F38" s="26" t="str">
        <x:v>Izcalli</x:v>
      </x:c>
      <x:c r="G38" s="26" t="str">
        <x:v>Conversación de desempeño (CDD)</x:v>
      </x:c>
      <x:c r="H38" s="26" t="str">
        <x:v>Bebida</x:v>
      </x:c>
      <x:c r="I38" s="26" t="str">
        <x:v>¿Qué fortaleza, expectativa y siguiente paso quedarán documentados?</x:v>
      </x:c>
      <x:c r="J38" s="26" t="str"/>
      <x:c r="K38" s="26" t="str"/>
      <x:c r="L38" s="26" t="str">
        <x:v>15/10/2026</x:v>
      </x:c>
      <x:c r="M38" s="26" t="str">
        <x:v>Planeada</x:v>
      </x:c>
    </x:row>
    <x:row r="39" ht="34" customHeight="1">
      <x:c r="A39" s="26" t="str">
        <x:v>15/10/2026</x:v>
      </x:c>
      <x:c r="B39" s="26" t="str">
        <x:v>Fall 26</x:v>
      </x:c>
      <x:c r="C39" s="26" t="str">
        <x:v>38339</x:v>
      </x:c>
      <x:c r="D39" s="26" t="str">
        <x:v>San Marcos</x:v>
      </x:c>
      <x:c r="E39" s="26" t="str">
        <x:v>Diego Conde</x:v>
      </x:c>
      <x:c r="F39" s="26" t="str">
        <x:v>Izcalli</x:v>
      </x:c>
      <x:c r="G39" s="26" t="str">
        <x:v>Conversación de desempeño (CDD)</x:v>
      </x:c>
      <x:c r="H39" s="26" t="str">
        <x:v>Bebida</x:v>
      </x:c>
      <x:c r="I39" s="26" t="str">
        <x:v>¿Qué fortaleza, expectativa y siguiente paso quedarán documentados?</x:v>
      </x:c>
      <x:c r="J39" s="26" t="str"/>
      <x:c r="K39" s="26" t="str"/>
      <x:c r="L39" s="26" t="str">
        <x:v>25/10/2026</x:v>
      </x:c>
      <x:c r="M39" s="26" t="str">
        <x:v>Planeada</x:v>
      </x:c>
    </x:row>
    <x:row r="40" ht="34" customHeight="1">
      <x:c r="A40" s="26" t="str">
        <x:v>25/10/2026</x:v>
      </x:c>
      <x:c r="B40" s="26" t="str">
        <x:v>Fall 26</x:v>
      </x:c>
      <x:c r="C40" s="26" t="str">
        <x:v>38339</x:v>
      </x:c>
      <x:c r="D40" s="26" t="str">
        <x:v>San Marcos</x:v>
      </x:c>
      <x:c r="E40" s="26" t="str">
        <x:v>Diego Conde</x:v>
      </x:c>
      <x:c r="F40" s="26" t="str">
        <x:v>Izcalli</x:v>
      </x:c>
      <x:c r="G40" s="26" t="str">
        <x:v>Conversación de desempeño (CDD)</x:v>
      </x:c>
      <x:c r="H40" s="26" t="str">
        <x:v>Bebida</x:v>
      </x:c>
      <x:c r="I40" s="26" t="str">
        <x:v>¿Qué fortaleza, expectativa y siguiente paso quedarán documentados?</x:v>
      </x:c>
      <x:c r="J40" s="26" t="str"/>
      <x:c r="K40" s="26" t="str"/>
      <x:c r="L40" s="26" t="str">
        <x:v>04/11/2026</x:v>
      </x:c>
      <x:c r="M40" s="26" t="str">
        <x:v>Planeada</x:v>
      </x:c>
    </x:row>
    <x:row r="41" ht="34" customHeight="1">
      <x:c r="A41" s="26" t="str">
        <x:v>04/11/2026</x:v>
      </x:c>
      <x:c r="B41" s="26" t="str">
        <x:v>Xmas 26</x:v>
      </x:c>
      <x:c r="C41" s="26" t="str">
        <x:v>38339</x:v>
      </x:c>
      <x:c r="D41" s="26" t="str">
        <x:v>San Marcos</x:v>
      </x:c>
      <x:c r="E41" s="26" t="str">
        <x:v>Diego Conde</x:v>
      </x:c>
      <x:c r="F41" s="26" t="str">
        <x:v>Izcalli</x:v>
      </x:c>
      <x:c r="G41" s="26" t="str">
        <x:v>Sistema crítico</x:v>
      </x:c>
      <x:c r="H41" s="26" t="str">
        <x:v>Bebida</x:v>
      </x:c>
      <x:c r="I41" s="26" t="str">
        <x:v>¿Dónde se rompe el estándar, quién es dueño y cuál es la evidencia?</x:v>
      </x:c>
      <x:c r="J41" s="26" t="str"/>
      <x:c r="K41" s="26" t="str"/>
      <x:c r="L41" s="26" t="str">
        <x:v>14/11/2026</x:v>
      </x:c>
      <x:c r="M41" s="26" t="str">
        <x:v>Planeada</x:v>
      </x:c>
    </x:row>
    <x:row r="42" ht="34" customHeight="1">
      <x:c r="A42" s="26" t="str">
        <x:v>14/11/2026</x:v>
      </x:c>
      <x:c r="B42" s="26" t="str">
        <x:v>Xmas 26</x:v>
      </x:c>
      <x:c r="C42" s="26" t="str">
        <x:v>38339</x:v>
      </x:c>
      <x:c r="D42" s="26" t="str">
        <x:v>San Marcos</x:v>
      </x:c>
      <x:c r="E42" s="26" t="str">
        <x:v>Diego Conde</x:v>
      </x:c>
      <x:c r="F42" s="26" t="str">
        <x:v>Izcalli</x:v>
      </x:c>
      <x:c r="G42" s="26" t="str">
        <x:v>Seguimiento 10 días</x:v>
      </x:c>
      <x:c r="H42" s="26" t="str">
        <x:v>Bebida</x:v>
      </x:c>
      <x:c r="I42" s="26" t="str">
        <x:v>¿Qué cambió, qué no funcionó y qué obstáculo debemos quitar?</x:v>
      </x:c>
      <x:c r="J42" s="26" t="str"/>
      <x:c r="K42" s="26" t="str"/>
      <x:c r="L42" s="26" t="str">
        <x:v>24/11/2026</x:v>
      </x:c>
      <x:c r="M42" s="26" t="str">
        <x:v>Planeada</x:v>
      </x:c>
    </x:row>
    <x:row r="43" ht="34" customHeight="1">
      <x:c r="A43" s="26" t="str">
        <x:v>24/11/2026</x:v>
      </x:c>
      <x:c r="B43" s="26" t="str">
        <x:v>Xmas 26</x:v>
      </x:c>
      <x:c r="C43" s="26" t="str">
        <x:v>38339</x:v>
      </x:c>
      <x:c r="D43" s="26" t="str">
        <x:v>San Marcos</x:v>
      </x:c>
      <x:c r="E43" s="26" t="str">
        <x:v>Diego Conde</x:v>
      </x:c>
      <x:c r="F43" s="26" t="str">
        <x:v>Izcalli</x:v>
      </x:c>
      <x:c r="G43" s="26" t="str">
        <x:v>Desarrollo y talento</x:v>
      </x:c>
      <x:c r="H43" s="26" t="str">
        <x:v>Bebida</x:v>
      </x:c>
      <x:c r="I43" s="26" t="str">
        <x:v>¿Quién necesita práctica, acompañamiento o cobertura para crecer?</x:v>
      </x:c>
      <x:c r="J43" s="26" t="str"/>
      <x:c r="K43" s="26" t="str"/>
      <x:c r="L43" s="26" t="str">
        <x:v>04/12/2026</x:v>
      </x:c>
      <x:c r="M43" s="26" t="str">
        <x:v>Planeada</x:v>
      </x:c>
    </x:row>
    <x:row r="44" ht="34" customHeight="1">
      <x:c r="A44" s="26" t="str">
        <x:v>04/12/2026</x:v>
      </x:c>
      <x:c r="B44" s="26" t="str">
        <x:v>Xmas 26</x:v>
      </x:c>
      <x:c r="C44" s="26" t="str">
        <x:v>38339</x:v>
      </x:c>
      <x:c r="D44" s="26" t="str">
        <x:v>San Marcos</x:v>
      </x:c>
      <x:c r="E44" s="26" t="str">
        <x:v>Diego Conde</x:v>
      </x:c>
      <x:c r="F44" s="26" t="str">
        <x:v>Izcalli</x:v>
      </x:c>
      <x:c r="G44" s="26" t="str">
        <x:v>Mejora continua</x:v>
      </x:c>
      <x:c r="H44" s="26" t="str">
        <x:v>Bebida</x:v>
      </x:c>
      <x:c r="I44" s="26" t="str">
        <x:v>¿Qué hará distinto el líder en la próxima hora?</x:v>
      </x:c>
      <x:c r="J44" s="26" t="str"/>
      <x:c r="K44" s="26" t="str"/>
      <x:c r="L44" s="26" t="str">
        <x:v>14/12/2026</x:v>
      </x:c>
      <x:c r="M44" s="26" t="str">
        <x:v>Planeada</x:v>
      </x:c>
    </x:row>
    <x:row r="45" ht="34" customHeight="1">
      <x:c r="A45" s="26" t="str">
        <x:v>14/12/2026</x:v>
      </x:c>
      <x:c r="B45" s="26" t="str">
        <x:v>Xmas 26</x:v>
      </x:c>
      <x:c r="C45" s="26" t="str">
        <x:v>38339</x:v>
      </x:c>
      <x:c r="D45" s="26" t="str">
        <x:v>San Marcos</x:v>
      </x:c>
      <x:c r="E45" s="26" t="str">
        <x:v>Diego Conde</x:v>
      </x:c>
      <x:c r="F45" s="26" t="str">
        <x:v>Izcalli</x:v>
      </x:c>
      <x:c r="G45" s="26" t="str">
        <x:v>Sistema crítico</x:v>
      </x:c>
      <x:c r="H45" s="26" t="str">
        <x:v>Bebida</x:v>
      </x:c>
      <x:c r="I45" s="26" t="str">
        <x:v>¿Dónde se rompe el estándar, quién es dueño y cuál es la evidencia?</x:v>
      </x:c>
      <x:c r="J45" s="26" t="str"/>
      <x:c r="K45" s="26" t="str"/>
      <x:c r="L45" s="26" t="str">
        <x:v>24/12/2026</x:v>
      </x:c>
      <x:c r="M45" s="26" t="str">
        <x:v>Planeada</x:v>
      </x:c>
    </x:row>
    <x:row r="46" ht="34" customHeight="1">
      <x:c r="A46" s="26" t="str">
        <x:v>24/12/2026</x:v>
      </x:c>
      <x:c r="B46" s="26" t="str">
        <x:v>Xmas 26</x:v>
      </x:c>
      <x:c r="C46" s="26" t="str">
        <x:v>38339</x:v>
      </x:c>
      <x:c r="D46" s="26" t="str">
        <x:v>San Marcos</x:v>
      </x:c>
      <x:c r="E46" s="26" t="str">
        <x:v>Diego Conde</x:v>
      </x:c>
      <x:c r="F46" s="26" t="str">
        <x:v>Izcalli</x:v>
      </x:c>
      <x:c r="G46" s="26" t="str">
        <x:v>Seguimiento 10 días</x:v>
      </x:c>
      <x:c r="H46" s="26" t="str">
        <x:v>Bebida</x:v>
      </x:c>
      <x:c r="I46" s="26" t="str">
        <x:v>¿Qué cambió, qué no funcionó y qué obstáculo debemos quitar?</x:v>
      </x:c>
      <x:c r="J46" s="26" t="str"/>
      <x:c r="K46" s="26" t="str"/>
      <x:c r="L46" s="26" t="str">
        <x:v>03/01/2027</x:v>
      </x:c>
      <x:c r="M46" s="26" t="str">
        <x:v>Planeada</x:v>
      </x:c>
    </x:row>
    <x:row r="47" ht="34" customHeight="1">
      <x:c r="A47" s="26" t="str">
        <x:v>27/08/2026</x:v>
      </x:c>
      <x:c r="B47" s="26" t="str">
        <x:v>Fall 26</x:v>
      </x:c>
      <x:c r="C47" s="26" t="str">
        <x:v>38456</x:v>
      </x:c>
      <x:c r="D47" s="26" t="str">
        <x:v>Plaza las Flores</x:v>
      </x:c>
      <x:c r="E47" s="26" t="str">
        <x:v>Ramon Espinosa</x:v>
      </x:c>
      <x:c r="F47" s="26" t="str">
        <x:v>Coacalco–Ecatepec</x:v>
      </x:c>
      <x:c r="G47" s="26" t="str">
        <x:v>Desarrollo y talento</x:v>
      </x:c>
      <x:c r="H47" s="26" t="str">
        <x:v>Recuperación de órdenes</x:v>
      </x:c>
      <x:c r="I47" s="26" t="str">
        <x:v>¿Quién necesita práctica, acompañamiento o cobertura para crecer?</x:v>
      </x:c>
      <x:c r="J47" s="26" t="str"/>
      <x:c r="K47" s="26" t="str"/>
      <x:c r="L47" s="26" t="str">
        <x:v>06/09/2026</x:v>
      </x:c>
      <x:c r="M47" s="26" t="str">
        <x:v>Planeada</x:v>
      </x:c>
    </x:row>
    <x:row r="48" ht="34" customHeight="1">
      <x:c r="A48" s="26" t="str">
        <x:v>06/09/2026</x:v>
      </x:c>
      <x:c r="B48" s="26" t="str">
        <x:v>Fall 26</x:v>
      </x:c>
      <x:c r="C48" s="26" t="str">
        <x:v>38456</x:v>
      </x:c>
      <x:c r="D48" s="26" t="str">
        <x:v>Plaza las Flores</x:v>
      </x:c>
      <x:c r="E48" s="26" t="str">
        <x:v>Ramon Espinosa</x:v>
      </x:c>
      <x:c r="F48" s="26" t="str">
        <x:v>Coacalco–Ecatepec</x:v>
      </x:c>
      <x:c r="G48" s="26" t="str">
        <x:v>Mejora continua</x:v>
      </x:c>
      <x:c r="H48" s="26" t="str">
        <x:v>Recuperación de órdenes</x:v>
      </x:c>
      <x:c r="I48" s="26" t="str">
        <x:v>¿Qué hará distinto el líder en la próxima hora?</x:v>
      </x:c>
      <x:c r="J48" s="26" t="str"/>
      <x:c r="K48" s="26" t="str"/>
      <x:c r="L48" s="26" t="str">
        <x:v>16/09/2026</x:v>
      </x:c>
      <x:c r="M48" s="26" t="str">
        <x:v>Planeada</x:v>
      </x:c>
    </x:row>
    <x:row r="49" ht="34" customHeight="1">
      <x:c r="A49" s="26" t="str">
        <x:v>16/09/2026</x:v>
      </x:c>
      <x:c r="B49" s="26" t="str">
        <x:v>Fall 26</x:v>
      </x:c>
      <x:c r="C49" s="26" t="str">
        <x:v>38456</x:v>
      </x:c>
      <x:c r="D49" s="26" t="str">
        <x:v>Plaza las Flores</x:v>
      </x:c>
      <x:c r="E49" s="26" t="str">
        <x:v>Ramon Espinosa</x:v>
      </x:c>
      <x:c r="F49" s="26" t="str">
        <x:v>Coacalco–Ecatepec</x:v>
      </x:c>
      <x:c r="G49" s="26" t="str">
        <x:v>Sistema crítico</x:v>
      </x:c>
      <x:c r="H49" s="26" t="str">
        <x:v>Recuperación de órdenes</x:v>
      </x:c>
      <x:c r="I49" s="26" t="str">
        <x:v>¿Dónde se rompe el estándar, quién es dueño y cuál es la evidencia?</x:v>
      </x:c>
      <x:c r="J49" s="26" t="str"/>
      <x:c r="K49" s="26" t="str"/>
      <x:c r="L49" s="26" t="str">
        <x:v>26/09/2026</x:v>
      </x:c>
      <x:c r="M49" s="26" t="str">
        <x:v>Planeada</x:v>
      </x:c>
    </x:row>
    <x:row r="50" ht="34" customHeight="1">
      <x:c r="A50" s="26" t="str">
        <x:v>26/09/2026</x:v>
      </x:c>
      <x:c r="B50" s="26" t="str">
        <x:v>Fall 26</x:v>
      </x:c>
      <x:c r="C50" s="26" t="str">
        <x:v>38456</x:v>
      </x:c>
      <x:c r="D50" s="26" t="str">
        <x:v>Plaza las Flores</x:v>
      </x:c>
      <x:c r="E50" s="26" t="str">
        <x:v>Ramon Espinosa</x:v>
      </x:c>
      <x:c r="F50" s="26" t="str">
        <x:v>Coacalco–Ecatepec</x:v>
      </x:c>
      <x:c r="G50" s="26" t="str">
        <x:v>Seguimiento 10 días</x:v>
      </x:c>
      <x:c r="H50" s="26" t="str">
        <x:v>Recuperación de órdenes</x:v>
      </x:c>
      <x:c r="I50" s="26" t="str">
        <x:v>¿Qué cambió, qué no funcionó y qué obstáculo debemos quitar?</x:v>
      </x:c>
      <x:c r="J50" s="26" t="str"/>
      <x:c r="K50" s="26" t="str"/>
      <x:c r="L50" s="26" t="str">
        <x:v>06/10/2026</x:v>
      </x:c>
      <x:c r="M50" s="26" t="str">
        <x:v>Planeada</x:v>
      </x:c>
    </x:row>
    <x:row r="51" ht="34" customHeight="1">
      <x:c r="A51" s="26" t="str">
        <x:v>06/10/2026</x:v>
      </x:c>
      <x:c r="B51" s="26" t="str">
        <x:v>Fall 26</x:v>
      </x:c>
      <x:c r="C51" s="26" t="str">
        <x:v>38456</x:v>
      </x:c>
      <x:c r="D51" s="26" t="str">
        <x:v>Plaza las Flores</x:v>
      </x:c>
      <x:c r="E51" s="26" t="str">
        <x:v>Ramon Espinosa</x:v>
      </x:c>
      <x:c r="F51" s="26" t="str">
        <x:v>Coacalco–Ecatepec</x:v>
      </x:c>
      <x:c r="G51" s="26" t="str">
        <x:v>Conversación de desempeño (CDD)</x:v>
      </x:c>
      <x:c r="H51" s="26" t="str">
        <x:v>Recuperación de órdenes</x:v>
      </x:c>
      <x:c r="I51" s="26" t="str">
        <x:v>¿Qué fortaleza, expectativa y siguiente paso quedarán documentados?</x:v>
      </x:c>
      <x:c r="J51" s="26" t="str"/>
      <x:c r="K51" s="26" t="str"/>
      <x:c r="L51" s="26" t="str">
        <x:v>16/10/2026</x:v>
      </x:c>
      <x:c r="M51" s="26" t="str">
        <x:v>Planeada</x:v>
      </x:c>
    </x:row>
    <x:row r="52" ht="34" customHeight="1">
      <x:c r="A52" s="26" t="str">
        <x:v>16/10/2026</x:v>
      </x:c>
      <x:c r="B52" s="26" t="str">
        <x:v>Fall 26</x:v>
      </x:c>
      <x:c r="C52" s="26" t="str">
        <x:v>38456</x:v>
      </x:c>
      <x:c r="D52" s="26" t="str">
        <x:v>Plaza las Flores</x:v>
      </x:c>
      <x:c r="E52" s="26" t="str">
        <x:v>Ramon Espinosa</x:v>
      </x:c>
      <x:c r="F52" s="26" t="str">
        <x:v>Coacalco–Ecatepec</x:v>
      </x:c>
      <x:c r="G52" s="26" t="str">
        <x:v>Conversación de desempeño (CDD)</x:v>
      </x:c>
      <x:c r="H52" s="26" t="str">
        <x:v>Recuperación de órdenes</x:v>
      </x:c>
      <x:c r="I52" s="26" t="str">
        <x:v>¿Qué fortaleza, expectativa y siguiente paso quedarán documentados?</x:v>
      </x:c>
      <x:c r="J52" s="26" t="str"/>
      <x:c r="K52" s="26" t="str"/>
      <x:c r="L52" s="26" t="str">
        <x:v>26/10/2026</x:v>
      </x:c>
      <x:c r="M52" s="26" t="str">
        <x:v>Planeada</x:v>
      </x:c>
    </x:row>
    <x:row r="53" ht="34" customHeight="1">
      <x:c r="A53" s="26" t="str">
        <x:v>26/10/2026</x:v>
      </x:c>
      <x:c r="B53" s="26" t="str">
        <x:v>Fall 26</x:v>
      </x:c>
      <x:c r="C53" s="26" t="str">
        <x:v>38456</x:v>
      </x:c>
      <x:c r="D53" s="26" t="str">
        <x:v>Plaza las Flores</x:v>
      </x:c>
      <x:c r="E53" s="26" t="str">
        <x:v>Ramon Espinosa</x:v>
      </x:c>
      <x:c r="F53" s="26" t="str">
        <x:v>Coacalco–Ecatepec</x:v>
      </x:c>
      <x:c r="G53" s="26" t="str">
        <x:v>Conversación de desempeño (CDD)</x:v>
      </x:c>
      <x:c r="H53" s="26" t="str">
        <x:v>Recuperación de órdenes</x:v>
      </x:c>
      <x:c r="I53" s="26" t="str">
        <x:v>¿Qué fortaleza, expectativa y siguiente paso quedarán documentados?</x:v>
      </x:c>
      <x:c r="J53" s="26" t="str"/>
      <x:c r="K53" s="26" t="str"/>
      <x:c r="L53" s="26" t="str">
        <x:v>05/11/2026</x:v>
      </x:c>
      <x:c r="M53" s="26" t="str">
        <x:v>Planeada</x:v>
      </x:c>
    </x:row>
    <x:row r="54" ht="34" customHeight="1">
      <x:c r="A54" s="26" t="str">
        <x:v>05/11/2026</x:v>
      </x:c>
      <x:c r="B54" s="26" t="str">
        <x:v>Xmas 26</x:v>
      </x:c>
      <x:c r="C54" s="26" t="str">
        <x:v>38456</x:v>
      </x:c>
      <x:c r="D54" s="26" t="str">
        <x:v>Plaza las Flores</x:v>
      </x:c>
      <x:c r="E54" s="26" t="str">
        <x:v>Ramon Espinosa</x:v>
      </x:c>
      <x:c r="F54" s="26" t="str">
        <x:v>Coacalco–Ecatepec</x:v>
      </x:c>
      <x:c r="G54" s="26" t="str">
        <x:v>Seguimiento 10 días</x:v>
      </x:c>
      <x:c r="H54" s="26" t="str">
        <x:v>Recuperación de órdenes</x:v>
      </x:c>
      <x:c r="I54" s="26" t="str">
        <x:v>¿Qué cambió, qué no funcionó y qué obstáculo debemos quitar?</x:v>
      </x:c>
      <x:c r="J54" s="26" t="str"/>
      <x:c r="K54" s="26" t="str"/>
      <x:c r="L54" s="26" t="str">
        <x:v>15/11/2026</x:v>
      </x:c>
      <x:c r="M54" s="26" t="str">
        <x:v>Planeada</x:v>
      </x:c>
    </x:row>
    <x:row r="55" ht="34" customHeight="1">
      <x:c r="A55" s="26" t="str">
        <x:v>15/11/2026</x:v>
      </x:c>
      <x:c r="B55" s="26" t="str">
        <x:v>Xmas 26</x:v>
      </x:c>
      <x:c r="C55" s="26" t="str">
        <x:v>38456</x:v>
      </x:c>
      <x:c r="D55" s="26" t="str">
        <x:v>Plaza las Flores</x:v>
      </x:c>
      <x:c r="E55" s="26" t="str">
        <x:v>Ramon Espinosa</x:v>
      </x:c>
      <x:c r="F55" s="26" t="str">
        <x:v>Coacalco–Ecatepec</x:v>
      </x:c>
      <x:c r="G55" s="26" t="str">
        <x:v>Desarrollo y talento</x:v>
      </x:c>
      <x:c r="H55" s="26" t="str">
        <x:v>Recuperación de órdenes</x:v>
      </x:c>
      <x:c r="I55" s="26" t="str">
        <x:v>¿Quién necesita práctica, acompañamiento o cobertura para crecer?</x:v>
      </x:c>
      <x:c r="J55" s="26" t="str"/>
      <x:c r="K55" s="26" t="str"/>
      <x:c r="L55" s="26" t="str">
        <x:v>25/11/2026</x:v>
      </x:c>
      <x:c r="M55" s="26" t="str">
        <x:v>Planeada</x:v>
      </x:c>
    </x:row>
    <x:row r="56" ht="34" customHeight="1">
      <x:c r="A56" s="26" t="str">
        <x:v>25/11/2026</x:v>
      </x:c>
      <x:c r="B56" s="26" t="str">
        <x:v>Xmas 26</x:v>
      </x:c>
      <x:c r="C56" s="26" t="str">
        <x:v>38456</x:v>
      </x:c>
      <x:c r="D56" s="26" t="str">
        <x:v>Plaza las Flores</x:v>
      </x:c>
      <x:c r="E56" s="26" t="str">
        <x:v>Ramon Espinosa</x:v>
      </x:c>
      <x:c r="F56" s="26" t="str">
        <x:v>Coacalco–Ecatepec</x:v>
      </x:c>
      <x:c r="G56" s="26" t="str">
        <x:v>Mejora continua</x:v>
      </x:c>
      <x:c r="H56" s="26" t="str">
        <x:v>Recuperación de órdenes</x:v>
      </x:c>
      <x:c r="I56" s="26" t="str">
        <x:v>¿Qué hará distinto el líder en la próxima hora?</x:v>
      </x:c>
      <x:c r="J56" s="26" t="str"/>
      <x:c r="K56" s="26" t="str"/>
      <x:c r="L56" s="26" t="str">
        <x:v>05/12/2026</x:v>
      </x:c>
      <x:c r="M56" s="26" t="str">
        <x:v>Planeada</x:v>
      </x:c>
    </x:row>
    <x:row r="57" ht="34" customHeight="1">
      <x:c r="A57" s="26" t="str">
        <x:v>05/12/2026</x:v>
      </x:c>
      <x:c r="B57" s="26" t="str">
        <x:v>Xmas 26</x:v>
      </x:c>
      <x:c r="C57" s="26" t="str">
        <x:v>38456</x:v>
      </x:c>
      <x:c r="D57" s="26" t="str">
        <x:v>Plaza las Flores</x:v>
      </x:c>
      <x:c r="E57" s="26" t="str">
        <x:v>Ramon Espinosa</x:v>
      </x:c>
      <x:c r="F57" s="26" t="str">
        <x:v>Coacalco–Ecatepec</x:v>
      </x:c>
      <x:c r="G57" s="26" t="str">
        <x:v>Sistema crítico</x:v>
      </x:c>
      <x:c r="H57" s="26" t="str">
        <x:v>Recuperación de órdenes</x:v>
      </x:c>
      <x:c r="I57" s="26" t="str">
        <x:v>¿Dónde se rompe el estándar, quién es dueño y cuál es la evidencia?</x:v>
      </x:c>
      <x:c r="J57" s="26" t="str"/>
      <x:c r="K57" s="26" t="str"/>
      <x:c r="L57" s="26" t="str">
        <x:v>15/12/2026</x:v>
      </x:c>
      <x:c r="M57" s="26" t="str">
        <x:v>Planeada</x:v>
      </x:c>
    </x:row>
    <x:row r="58" ht="34" customHeight="1">
      <x:c r="A58" s="26" t="str">
        <x:v>15/12/2026</x:v>
      </x:c>
      <x:c r="B58" s="26" t="str">
        <x:v>Xmas 26</x:v>
      </x:c>
      <x:c r="C58" s="26" t="str">
        <x:v>38456</x:v>
      </x:c>
      <x:c r="D58" s="26" t="str">
        <x:v>Plaza las Flores</x:v>
      </x:c>
      <x:c r="E58" s="26" t="str">
        <x:v>Ramon Espinosa</x:v>
      </x:c>
      <x:c r="F58" s="26" t="str">
        <x:v>Coacalco–Ecatepec</x:v>
      </x:c>
      <x:c r="G58" s="26" t="str">
        <x:v>Seguimiento 10 días</x:v>
      </x:c>
      <x:c r="H58" s="26" t="str">
        <x:v>Recuperación de órdenes</x:v>
      </x:c>
      <x:c r="I58" s="26" t="str">
        <x:v>¿Qué cambió, qué no funcionó y qué obstáculo debemos quitar?</x:v>
      </x:c>
      <x:c r="J58" s="26" t="str"/>
      <x:c r="K58" s="26" t="str"/>
      <x:c r="L58" s="26" t="str">
        <x:v>25/12/2026</x:v>
      </x:c>
      <x:c r="M58" s="26" t="str">
        <x:v>Planeada</x:v>
      </x:c>
    </x:row>
    <x:row r="59" ht="34" customHeight="1">
      <x:c r="A59" s="26" t="str">
        <x:v>25/12/2026</x:v>
      </x:c>
      <x:c r="B59" s="26" t="str">
        <x:v>Xmas 26</x:v>
      </x:c>
      <x:c r="C59" s="26" t="str">
        <x:v>38456</x:v>
      </x:c>
      <x:c r="D59" s="26" t="str">
        <x:v>Plaza las Flores</x:v>
      </x:c>
      <x:c r="E59" s="26" t="str">
        <x:v>Ramon Espinosa</x:v>
      </x:c>
      <x:c r="F59" s="26" t="str">
        <x:v>Coacalco–Ecatepec</x:v>
      </x:c>
      <x:c r="G59" s="26" t="str">
        <x:v>Desarrollo y talento</x:v>
      </x:c>
      <x:c r="H59" s="26" t="str">
        <x:v>Recuperación de órdenes</x:v>
      </x:c>
      <x:c r="I59" s="26" t="str">
        <x:v>¿Quién necesita práctica, acompañamiento o cobertura para crecer?</x:v>
      </x:c>
      <x:c r="J59" s="26" t="str"/>
      <x:c r="K59" s="26" t="str"/>
      <x:c r="L59" s="26" t="str">
        <x:v>04/01/2027</x:v>
      </x:c>
      <x:c r="M59" s="26" t="str">
        <x:v>Planeada</x:v>
      </x:c>
    </x:row>
    <x:row r="60" ht="34" customHeight="1">
      <x:c r="A60" s="26" t="str">
        <x:v>28/08/2026</x:v>
      </x:c>
      <x:c r="B60" s="26" t="str">
        <x:v>Fall 26</x:v>
      </x:c>
      <x:c r="C60" s="26" t="str">
        <x:v>38368</x:v>
      </x:c>
      <x:c r="D60" s="26" t="str">
        <x:v>Luna Park</x:v>
      </x:c>
      <x:c r="E60" s="26" t="str">
        <x:v>Joel Herrera</x:v>
      </x:c>
      <x:c r="F60" s="26" t="str">
        <x:v>Izcalli</x:v>
      </x:c>
      <x:c r="G60" s="26" t="str">
        <x:v>Mejora continua</x:v>
      </x:c>
      <x:c r="H60" s="26" t="str">
        <x:v>Duty Roster / limpieza</x:v>
      </x:c>
      <x:c r="I60" s="26" t="str">
        <x:v>¿Qué hará distinto el líder en la próxima hora?</x:v>
      </x:c>
      <x:c r="J60" s="26" t="str"/>
      <x:c r="K60" s="26" t="str"/>
      <x:c r="L60" s="26" t="str">
        <x:v>07/09/2026</x:v>
      </x:c>
      <x:c r="M60" s="26" t="str">
        <x:v>Planeada</x:v>
      </x:c>
    </x:row>
    <x:row r="61" ht="34" customHeight="1">
      <x:c r="A61" s="26" t="str">
        <x:v>07/09/2026</x:v>
      </x:c>
      <x:c r="B61" s="26" t="str">
        <x:v>Fall 26</x:v>
      </x:c>
      <x:c r="C61" s="26" t="str">
        <x:v>38368</x:v>
      </x:c>
      <x:c r="D61" s="26" t="str">
        <x:v>Luna Park</x:v>
      </x:c>
      <x:c r="E61" s="26" t="str">
        <x:v>Joel Herrera</x:v>
      </x:c>
      <x:c r="F61" s="26" t="str">
        <x:v>Izcalli</x:v>
      </x:c>
      <x:c r="G61" s="26" t="str">
        <x:v>Sistema crítico</x:v>
      </x:c>
      <x:c r="H61" s="26" t="str">
        <x:v>Duty Roster / limpieza</x:v>
      </x:c>
      <x:c r="I61" s="26" t="str">
        <x:v>¿Dónde se rompe el estándar, quién es dueño y cuál es la evidencia?</x:v>
      </x:c>
      <x:c r="J61" s="26" t="str"/>
      <x:c r="K61" s="26" t="str"/>
      <x:c r="L61" s="26" t="str">
        <x:v>17/09/2026</x:v>
      </x:c>
      <x:c r="M61" s="26" t="str">
        <x:v>Planeada</x:v>
      </x:c>
    </x:row>
    <x:row r="62" ht="34" customHeight="1">
      <x:c r="A62" s="26" t="str">
        <x:v>17/09/2026</x:v>
      </x:c>
      <x:c r="B62" s="26" t="str">
        <x:v>Fall 26</x:v>
      </x:c>
      <x:c r="C62" s="26" t="str">
        <x:v>38368</x:v>
      </x:c>
      <x:c r="D62" s="26" t="str">
        <x:v>Luna Park</x:v>
      </x:c>
      <x:c r="E62" s="26" t="str">
        <x:v>Joel Herrera</x:v>
      </x:c>
      <x:c r="F62" s="26" t="str">
        <x:v>Izcalli</x:v>
      </x:c>
      <x:c r="G62" s="26" t="str">
        <x:v>Seguimiento 10 días</x:v>
      </x:c>
      <x:c r="H62" s="26" t="str">
        <x:v>Duty Roster / limpieza</x:v>
      </x:c>
      <x:c r="I62" s="26" t="str">
        <x:v>¿Qué cambió, qué no funcionó y qué obstáculo debemos quitar?</x:v>
      </x:c>
      <x:c r="J62" s="26" t="str"/>
      <x:c r="K62" s="26" t="str"/>
      <x:c r="L62" s="26" t="str">
        <x:v>27/09/2026</x:v>
      </x:c>
      <x:c r="M62" s="26" t="str">
        <x:v>Planeada</x:v>
      </x:c>
    </x:row>
    <x:row r="63" ht="34" customHeight="1">
      <x:c r="A63" s="26" t="str">
        <x:v>27/09/2026</x:v>
      </x:c>
      <x:c r="B63" s="26" t="str">
        <x:v>Fall 26</x:v>
      </x:c>
      <x:c r="C63" s="26" t="str">
        <x:v>38368</x:v>
      </x:c>
      <x:c r="D63" s="26" t="str">
        <x:v>Luna Park</x:v>
      </x:c>
      <x:c r="E63" s="26" t="str">
        <x:v>Joel Herrera</x:v>
      </x:c>
      <x:c r="F63" s="26" t="str">
        <x:v>Izcalli</x:v>
      </x:c>
      <x:c r="G63" s="26" t="str">
        <x:v>Desarrollo y talento</x:v>
      </x:c>
      <x:c r="H63" s="26" t="str">
        <x:v>Duty Roster / limpieza</x:v>
      </x:c>
      <x:c r="I63" s="26" t="str">
        <x:v>¿Quién necesita práctica, acompañamiento o cobertura para crecer?</x:v>
      </x:c>
      <x:c r="J63" s="26" t="str"/>
      <x:c r="K63" s="26" t="str"/>
      <x:c r="L63" s="26" t="str">
        <x:v>07/10/2026</x:v>
      </x:c>
      <x:c r="M63" s="26" t="str">
        <x:v>Planeada</x:v>
      </x:c>
    </x:row>
    <x:row r="64" ht="34" customHeight="1">
      <x:c r="A64" s="26" t="str">
        <x:v>07/10/2026</x:v>
      </x:c>
      <x:c r="B64" s="26" t="str">
        <x:v>Fall 26</x:v>
      </x:c>
      <x:c r="C64" s="26" t="str">
        <x:v>38368</x:v>
      </x:c>
      <x:c r="D64" s="26" t="str">
        <x:v>Luna Park</x:v>
      </x:c>
      <x:c r="E64" s="26" t="str">
        <x:v>Joel Herrera</x:v>
      </x:c>
      <x:c r="F64" s="26" t="str">
        <x:v>Izcalli</x:v>
      </x:c>
      <x:c r="G64" s="26" t="str">
        <x:v>Conversación de desempeño (CDD)</x:v>
      </x:c>
      <x:c r="H64" s="26" t="str">
        <x:v>Duty Roster / limpieza</x:v>
      </x:c>
      <x:c r="I64" s="26" t="str">
        <x:v>¿Qué fortaleza, expectativa y siguiente paso quedarán documentados?</x:v>
      </x:c>
      <x:c r="J64" s="26" t="str"/>
      <x:c r="K64" s="26" t="str"/>
      <x:c r="L64" s="26" t="str">
        <x:v>17/10/2026</x:v>
      </x:c>
      <x:c r="M64" s="26" t="str">
        <x:v>Planeada</x:v>
      </x:c>
    </x:row>
    <x:row r="65" ht="34" customHeight="1">
      <x:c r="A65" s="26" t="str">
        <x:v>17/10/2026</x:v>
      </x:c>
      <x:c r="B65" s="26" t="str">
        <x:v>Fall 26</x:v>
      </x:c>
      <x:c r="C65" s="26" t="str">
        <x:v>38368</x:v>
      </x:c>
      <x:c r="D65" s="26" t="str">
        <x:v>Luna Park</x:v>
      </x:c>
      <x:c r="E65" s="26" t="str">
        <x:v>Joel Herrera</x:v>
      </x:c>
      <x:c r="F65" s="26" t="str">
        <x:v>Izcalli</x:v>
      </x:c>
      <x:c r="G65" s="26" t="str">
        <x:v>Conversación de desempeño (CDD)</x:v>
      </x:c>
      <x:c r="H65" s="26" t="str">
        <x:v>Duty Roster / limpieza</x:v>
      </x:c>
      <x:c r="I65" s="26" t="str">
        <x:v>¿Qué fortaleza, expectativa y siguiente paso quedarán documentados?</x:v>
      </x:c>
      <x:c r="J65" s="26" t="str"/>
      <x:c r="K65" s="26" t="str"/>
      <x:c r="L65" s="26" t="str">
        <x:v>27/10/2026</x:v>
      </x:c>
      <x:c r="M65" s="26" t="str">
        <x:v>Planeada</x:v>
      </x:c>
    </x:row>
    <x:row r="66" ht="34" customHeight="1">
      <x:c r="A66" s="26" t="str">
        <x:v>27/10/2026</x:v>
      </x:c>
      <x:c r="B66" s="26" t="str">
        <x:v>Fall 26</x:v>
      </x:c>
      <x:c r="C66" s="26" t="str">
        <x:v>38368</x:v>
      </x:c>
      <x:c r="D66" s="26" t="str">
        <x:v>Luna Park</x:v>
      </x:c>
      <x:c r="E66" s="26" t="str">
        <x:v>Joel Herrera</x:v>
      </x:c>
      <x:c r="F66" s="26" t="str">
        <x:v>Izcalli</x:v>
      </x:c>
      <x:c r="G66" s="26" t="str">
        <x:v>Conversación de desempeño (CDD)</x:v>
      </x:c>
      <x:c r="H66" s="26" t="str">
        <x:v>Duty Roster / limpieza</x:v>
      </x:c>
      <x:c r="I66" s="26" t="str">
        <x:v>¿Qué fortaleza, expectativa y siguiente paso quedarán documentados?</x:v>
      </x:c>
      <x:c r="J66" s="26" t="str"/>
      <x:c r="K66" s="26" t="str"/>
      <x:c r="L66" s="26" t="str">
        <x:v>06/11/2026</x:v>
      </x:c>
      <x:c r="M66" s="26" t="str">
        <x:v>Planeada</x:v>
      </x:c>
    </x:row>
    <x:row r="67" ht="34" customHeight="1">
      <x:c r="A67" s="26" t="str">
        <x:v>06/11/2026</x:v>
      </x:c>
      <x:c r="B67" s="26" t="str">
        <x:v>Xmas 26</x:v>
      </x:c>
      <x:c r="C67" s="26" t="str">
        <x:v>38368</x:v>
      </x:c>
      <x:c r="D67" s="26" t="str">
        <x:v>Luna Park</x:v>
      </x:c>
      <x:c r="E67" s="26" t="str">
        <x:v>Joel Herrera</x:v>
      </x:c>
      <x:c r="F67" s="26" t="str">
        <x:v>Izcalli</x:v>
      </x:c>
      <x:c r="G67" s="26" t="str">
        <x:v>Desarrollo y talento</x:v>
      </x:c>
      <x:c r="H67" s="26" t="str">
        <x:v>Duty Roster / limpieza</x:v>
      </x:c>
      <x:c r="I67" s="26" t="str">
        <x:v>¿Quién necesita práctica, acompañamiento o cobertura para crecer?</x:v>
      </x:c>
      <x:c r="J67" s="26" t="str"/>
      <x:c r="K67" s="26" t="str"/>
      <x:c r="L67" s="26" t="str">
        <x:v>16/11/2026</x:v>
      </x:c>
      <x:c r="M67" s="26" t="str">
        <x:v>Planeada</x:v>
      </x:c>
    </x:row>
    <x:row r="68" ht="34" customHeight="1">
      <x:c r="A68" s="26" t="str">
        <x:v>16/11/2026</x:v>
      </x:c>
      <x:c r="B68" s="26" t="str">
        <x:v>Xmas 26</x:v>
      </x:c>
      <x:c r="C68" s="26" t="str">
        <x:v>38368</x:v>
      </x:c>
      <x:c r="D68" s="26" t="str">
        <x:v>Luna Park</x:v>
      </x:c>
      <x:c r="E68" s="26" t="str">
        <x:v>Joel Herrera</x:v>
      </x:c>
      <x:c r="F68" s="26" t="str">
        <x:v>Izcalli</x:v>
      </x:c>
      <x:c r="G68" s="26" t="str">
        <x:v>Mejora continua</x:v>
      </x:c>
      <x:c r="H68" s="26" t="str">
        <x:v>Duty Roster / limpieza</x:v>
      </x:c>
      <x:c r="I68" s="26" t="str">
        <x:v>¿Qué hará distinto el líder en la próxima hora?</x:v>
      </x:c>
      <x:c r="J68" s="26" t="str"/>
      <x:c r="K68" s="26" t="str"/>
      <x:c r="L68" s="26" t="str">
        <x:v>26/11/2026</x:v>
      </x:c>
      <x:c r="M68" s="26" t="str">
        <x:v>Planeada</x:v>
      </x:c>
    </x:row>
    <x:row r="69" ht="34" customHeight="1">
      <x:c r="A69" s="26" t="str">
        <x:v>26/11/2026</x:v>
      </x:c>
      <x:c r="B69" s="26" t="str">
        <x:v>Xmas 26</x:v>
      </x:c>
      <x:c r="C69" s="26" t="str">
        <x:v>38368</x:v>
      </x:c>
      <x:c r="D69" s="26" t="str">
        <x:v>Luna Park</x:v>
      </x:c>
      <x:c r="E69" s="26" t="str">
        <x:v>Joel Herrera</x:v>
      </x:c>
      <x:c r="F69" s="26" t="str">
        <x:v>Izcalli</x:v>
      </x:c>
      <x:c r="G69" s="26" t="str">
        <x:v>Sistema crítico</x:v>
      </x:c>
      <x:c r="H69" s="26" t="str">
        <x:v>Duty Roster / limpieza</x:v>
      </x:c>
      <x:c r="I69" s="26" t="str">
        <x:v>¿Dónde se rompe el estándar, quién es dueño y cuál es la evidencia?</x:v>
      </x:c>
      <x:c r="J69" s="26" t="str"/>
      <x:c r="K69" s="26" t="str"/>
      <x:c r="L69" s="26" t="str">
        <x:v>06/12/2026</x:v>
      </x:c>
      <x:c r="M69" s="26" t="str">
        <x:v>Planeada</x:v>
      </x:c>
    </x:row>
    <x:row r="70" ht="34" customHeight="1">
      <x:c r="A70" s="26" t="str">
        <x:v>06/12/2026</x:v>
      </x:c>
      <x:c r="B70" s="26" t="str">
        <x:v>Xmas 26</x:v>
      </x:c>
      <x:c r="C70" s="26" t="str">
        <x:v>38368</x:v>
      </x:c>
      <x:c r="D70" s="26" t="str">
        <x:v>Luna Park</x:v>
      </x:c>
      <x:c r="E70" s="26" t="str">
        <x:v>Joel Herrera</x:v>
      </x:c>
      <x:c r="F70" s="26" t="str">
        <x:v>Izcalli</x:v>
      </x:c>
      <x:c r="G70" s="26" t="str">
        <x:v>Seguimiento 10 días</x:v>
      </x:c>
      <x:c r="H70" s="26" t="str">
        <x:v>Duty Roster / limpieza</x:v>
      </x:c>
      <x:c r="I70" s="26" t="str">
        <x:v>¿Qué cambió, qué no funcionó y qué obstáculo debemos quitar?</x:v>
      </x:c>
      <x:c r="J70" s="26" t="str"/>
      <x:c r="K70" s="26" t="str"/>
      <x:c r="L70" s="26" t="str">
        <x:v>16/12/2026</x:v>
      </x:c>
      <x:c r="M70" s="26" t="str">
        <x:v>Planeada</x:v>
      </x:c>
    </x:row>
    <x:row r="71" ht="34" customHeight="1">
      <x:c r="A71" s="26" t="str">
        <x:v>16/12/2026</x:v>
      </x:c>
      <x:c r="B71" s="26" t="str">
        <x:v>Xmas 26</x:v>
      </x:c>
      <x:c r="C71" s="26" t="str">
        <x:v>38368</x:v>
      </x:c>
      <x:c r="D71" s="26" t="str">
        <x:v>Luna Park</x:v>
      </x:c>
      <x:c r="E71" s="26" t="str">
        <x:v>Joel Herrera</x:v>
      </x:c>
      <x:c r="F71" s="26" t="str">
        <x:v>Izcalli</x:v>
      </x:c>
      <x:c r="G71" s="26" t="str">
        <x:v>Desarrollo y talento</x:v>
      </x:c>
      <x:c r="H71" s="26" t="str">
        <x:v>Duty Roster / limpieza</x:v>
      </x:c>
      <x:c r="I71" s="26" t="str">
        <x:v>¿Quién necesita práctica, acompañamiento o cobertura para crecer?</x:v>
      </x:c>
      <x:c r="J71" s="26" t="str"/>
      <x:c r="K71" s="26" t="str"/>
      <x:c r="L71" s="26" t="str">
        <x:v>26/12/2026</x:v>
      </x:c>
      <x:c r="M71" s="26" t="str">
        <x:v>Planeada</x:v>
      </x:c>
    </x:row>
    <x:row r="72" ht="34" customHeight="1">
      <x:c r="A72" s="26" t="str">
        <x:v>26/12/2026</x:v>
      </x:c>
      <x:c r="B72" s="26" t="str">
        <x:v>Xmas 26</x:v>
      </x:c>
      <x:c r="C72" s="26" t="str">
        <x:v>38368</x:v>
      </x:c>
      <x:c r="D72" s="26" t="str">
        <x:v>Luna Park</x:v>
      </x:c>
      <x:c r="E72" s="26" t="str">
        <x:v>Joel Herrera</x:v>
      </x:c>
      <x:c r="F72" s="26" t="str">
        <x:v>Izcalli</x:v>
      </x:c>
      <x:c r="G72" s="26" t="str">
        <x:v>Mejora continua</x:v>
      </x:c>
      <x:c r="H72" s="26" t="str">
        <x:v>Duty Roster / limpieza</x:v>
      </x:c>
      <x:c r="I72" s="26" t="str">
        <x:v>¿Qué hará distinto el líder en la próxima hora?</x:v>
      </x:c>
      <x:c r="J72" s="26" t="str"/>
      <x:c r="K72" s="26" t="str"/>
      <x:c r="L72" s="26" t="str">
        <x:v>05/01/2027</x:v>
      </x:c>
      <x:c r="M72" s="26" t="str">
        <x:v>Planeada</x:v>
      </x:c>
    </x:row>
    <x:row r="73" ht="34" customHeight="1">
      <x:c r="A73" s="26" t="str">
        <x:v>29/08/2026</x:v>
      </x:c>
      <x:c r="B73" s="26" t="str">
        <x:v>Fall 26</x:v>
      </x:c>
      <x:c r="C73" s="26" t="str">
        <x:v>38515</x:v>
      </x:c>
      <x:c r="D73" s="26" t="str">
        <x:v>Patio Ecatepec</x:v>
      </x:c>
      <x:c r="E73" s="26" t="str">
        <x:v>Itzel Dayana Llamas</x:v>
      </x:c>
      <x:c r="F73" s="26" t="str">
        <x:v>Coacalco–Ecatepec</x:v>
      </x:c>
      <x:c r="G73" s="26" t="str">
        <x:v>Sistema crítico</x:v>
      </x:c>
      <x:c r="H73" s="26" t="str">
        <x:v>UKG / cobertura</x:v>
      </x:c>
      <x:c r="I73" s="26" t="str">
        <x:v>¿Dónde se rompe el estándar, quién es dueño y cuál es la evidencia?</x:v>
      </x:c>
      <x:c r="J73" s="26" t="str"/>
      <x:c r="K73" s="26" t="str"/>
      <x:c r="L73" s="26" t="str">
        <x:v>08/09/2026</x:v>
      </x:c>
      <x:c r="M73" s="26" t="str">
        <x:v>Planeada</x:v>
      </x:c>
    </x:row>
    <x:row r="74" ht="34" customHeight="1">
      <x:c r="A74" s="26" t="str">
        <x:v>08/09/2026</x:v>
      </x:c>
      <x:c r="B74" s="26" t="str">
        <x:v>Fall 26</x:v>
      </x:c>
      <x:c r="C74" s="26" t="str">
        <x:v>38515</x:v>
      </x:c>
      <x:c r="D74" s="26" t="str">
        <x:v>Patio Ecatepec</x:v>
      </x:c>
      <x:c r="E74" s="26" t="str">
        <x:v>Itzel Dayana Llamas</x:v>
      </x:c>
      <x:c r="F74" s="26" t="str">
        <x:v>Coacalco–Ecatepec</x:v>
      </x:c>
      <x:c r="G74" s="26" t="str">
        <x:v>Seguimiento 10 días</x:v>
      </x:c>
      <x:c r="H74" s="26" t="str">
        <x:v>UKG / cobertura</x:v>
      </x:c>
      <x:c r="I74" s="26" t="str">
        <x:v>¿Qué cambió, qué no funcionó y qué obstáculo debemos quitar?</x:v>
      </x:c>
      <x:c r="J74" s="26" t="str"/>
      <x:c r="K74" s="26" t="str"/>
      <x:c r="L74" s="26" t="str">
        <x:v>18/09/2026</x:v>
      </x:c>
      <x:c r="M74" s="26" t="str">
        <x:v>Planeada</x:v>
      </x:c>
    </x:row>
    <x:row r="75" ht="34" customHeight="1">
      <x:c r="A75" s="26" t="str">
        <x:v>18/09/2026</x:v>
      </x:c>
      <x:c r="B75" s="26" t="str">
        <x:v>Fall 26</x:v>
      </x:c>
      <x:c r="C75" s="26" t="str">
        <x:v>38515</x:v>
      </x:c>
      <x:c r="D75" s="26" t="str">
        <x:v>Patio Ecatepec</x:v>
      </x:c>
      <x:c r="E75" s="26" t="str">
        <x:v>Itzel Dayana Llamas</x:v>
      </x:c>
      <x:c r="F75" s="26" t="str">
        <x:v>Coacalco–Ecatepec</x:v>
      </x:c>
      <x:c r="G75" s="26" t="str">
        <x:v>Desarrollo y talento</x:v>
      </x:c>
      <x:c r="H75" s="26" t="str">
        <x:v>UKG / cobertura</x:v>
      </x:c>
      <x:c r="I75" s="26" t="str">
        <x:v>¿Quién necesita práctica, acompañamiento o cobertura para crecer?</x:v>
      </x:c>
      <x:c r="J75" s="26" t="str"/>
      <x:c r="K75" s="26" t="str"/>
      <x:c r="L75" s="26" t="str">
        <x:v>28/09/2026</x:v>
      </x:c>
      <x:c r="M75" s="26" t="str">
        <x:v>Planeada</x:v>
      </x:c>
    </x:row>
    <x:row r="76" ht="34" customHeight="1">
      <x:c r="A76" s="26" t="str">
        <x:v>28/09/2026</x:v>
      </x:c>
      <x:c r="B76" s="26" t="str">
        <x:v>Fall 26</x:v>
      </x:c>
      <x:c r="C76" s="26" t="str">
        <x:v>38515</x:v>
      </x:c>
      <x:c r="D76" s="26" t="str">
        <x:v>Patio Ecatepec</x:v>
      </x:c>
      <x:c r="E76" s="26" t="str">
        <x:v>Itzel Dayana Llamas</x:v>
      </x:c>
      <x:c r="F76" s="26" t="str">
        <x:v>Coacalco–Ecatepec</x:v>
      </x:c>
      <x:c r="G76" s="26" t="str">
        <x:v>Mejora continua</x:v>
      </x:c>
      <x:c r="H76" s="26" t="str">
        <x:v>UKG / cobertura</x:v>
      </x:c>
      <x:c r="I76" s="26" t="str">
        <x:v>¿Qué hará distinto el líder en la próxima hora?</x:v>
      </x:c>
      <x:c r="J76" s="26" t="str"/>
      <x:c r="K76" s="26" t="str"/>
      <x:c r="L76" s="26" t="str">
        <x:v>08/10/2026</x:v>
      </x:c>
      <x:c r="M76" s="26" t="str">
        <x:v>Planeada</x:v>
      </x:c>
    </x:row>
    <x:row r="77" ht="34" customHeight="1">
      <x:c r="A77" s="26" t="str">
        <x:v>08/10/2026</x:v>
      </x:c>
      <x:c r="B77" s="26" t="str">
        <x:v>Fall 26</x:v>
      </x:c>
      <x:c r="C77" s="26" t="str">
        <x:v>38515</x:v>
      </x:c>
      <x:c r="D77" s="26" t="str">
        <x:v>Patio Ecatepec</x:v>
      </x:c>
      <x:c r="E77" s="26" t="str">
        <x:v>Itzel Dayana Llamas</x:v>
      </x:c>
      <x:c r="F77" s="26" t="str">
        <x:v>Coacalco–Ecatepec</x:v>
      </x:c>
      <x:c r="G77" s="26" t="str">
        <x:v>Conversación de desempeño (CDD)</x:v>
      </x:c>
      <x:c r="H77" s="26" t="str">
        <x:v>UKG / cobertura</x:v>
      </x:c>
      <x:c r="I77" s="26" t="str">
        <x:v>¿Qué fortaleza, expectativa y siguiente paso quedarán documentados?</x:v>
      </x:c>
      <x:c r="J77" s="26" t="str"/>
      <x:c r="K77" s="26" t="str"/>
      <x:c r="L77" s="26" t="str">
        <x:v>18/10/2026</x:v>
      </x:c>
      <x:c r="M77" s="26" t="str">
        <x:v>Planeada</x:v>
      </x:c>
    </x:row>
    <x:row r="78" ht="34" customHeight="1">
      <x:c r="A78" s="26" t="str">
        <x:v>18/10/2026</x:v>
      </x:c>
      <x:c r="B78" s="26" t="str">
        <x:v>Fall 26</x:v>
      </x:c>
      <x:c r="C78" s="26" t="str">
        <x:v>38515</x:v>
      </x:c>
      <x:c r="D78" s="26" t="str">
        <x:v>Patio Ecatepec</x:v>
      </x:c>
      <x:c r="E78" s="26" t="str">
        <x:v>Itzel Dayana Llamas</x:v>
      </x:c>
      <x:c r="F78" s="26" t="str">
        <x:v>Coacalco–Ecatepec</x:v>
      </x:c>
      <x:c r="G78" s="26" t="str">
        <x:v>Conversación de desempeño (CDD)</x:v>
      </x:c>
      <x:c r="H78" s="26" t="str">
        <x:v>UKG / cobertura</x:v>
      </x:c>
      <x:c r="I78" s="26" t="str">
        <x:v>¿Qué fortaleza, expectativa y siguiente paso quedarán documentados?</x:v>
      </x:c>
      <x:c r="J78" s="26" t="str"/>
      <x:c r="K78" s="26" t="str"/>
      <x:c r="L78" s="26" t="str">
        <x:v>28/10/2026</x:v>
      </x:c>
      <x:c r="M78" s="26" t="str">
        <x:v>Planeada</x:v>
      </x:c>
    </x:row>
    <x:row r="79" ht="34" customHeight="1">
      <x:c r="A79" s="26" t="str">
        <x:v>28/10/2026</x:v>
      </x:c>
      <x:c r="B79" s="26" t="str">
        <x:v>Fall 26</x:v>
      </x:c>
      <x:c r="C79" s="26" t="str">
        <x:v>38515</x:v>
      </x:c>
      <x:c r="D79" s="26" t="str">
        <x:v>Patio Ecatepec</x:v>
      </x:c>
      <x:c r="E79" s="26" t="str">
        <x:v>Itzel Dayana Llamas</x:v>
      </x:c>
      <x:c r="F79" s="26" t="str">
        <x:v>Coacalco–Ecatepec</x:v>
      </x:c>
      <x:c r="G79" s="26" t="str">
        <x:v>Conversación de desempeño (CDD)</x:v>
      </x:c>
      <x:c r="H79" s="26" t="str">
        <x:v>UKG / cobertura</x:v>
      </x:c>
      <x:c r="I79" s="26" t="str">
        <x:v>¿Qué fortaleza, expectativa y siguiente paso quedarán documentados?</x:v>
      </x:c>
      <x:c r="J79" s="26" t="str"/>
      <x:c r="K79" s="26" t="str"/>
      <x:c r="L79" s="26" t="str">
        <x:v>07/11/2026</x:v>
      </x:c>
      <x:c r="M79" s="26" t="str">
        <x:v>Planeada</x:v>
      </x:c>
    </x:row>
    <x:row r="80" ht="34" customHeight="1">
      <x:c r="A80" s="26" t="str">
        <x:v>07/11/2026</x:v>
      </x:c>
      <x:c r="B80" s="26" t="str">
        <x:v>Xmas 26</x:v>
      </x:c>
      <x:c r="C80" s="26" t="str">
        <x:v>38515</x:v>
      </x:c>
      <x:c r="D80" s="26" t="str">
        <x:v>Patio Ecatepec</x:v>
      </x:c>
      <x:c r="E80" s="26" t="str">
        <x:v>Itzel Dayana Llamas</x:v>
      </x:c>
      <x:c r="F80" s="26" t="str">
        <x:v>Coacalco–Ecatepec</x:v>
      </x:c>
      <x:c r="G80" s="26" t="str">
        <x:v>Mejora continua</x:v>
      </x:c>
      <x:c r="H80" s="26" t="str">
        <x:v>UKG / cobertura</x:v>
      </x:c>
      <x:c r="I80" s="26" t="str">
        <x:v>¿Qué hará distinto el líder en la próxima hora?</x:v>
      </x:c>
      <x:c r="J80" s="26" t="str"/>
      <x:c r="K80" s="26" t="str"/>
      <x:c r="L80" s="26" t="str">
        <x:v>17/11/2026</x:v>
      </x:c>
      <x:c r="M80" s="26" t="str">
        <x:v>Planeada</x:v>
      </x:c>
    </x:row>
    <x:row r="81" ht="34" customHeight="1">
      <x:c r="A81" s="26" t="str">
        <x:v>17/11/2026</x:v>
      </x:c>
      <x:c r="B81" s="26" t="str">
        <x:v>Xmas 26</x:v>
      </x:c>
      <x:c r="C81" s="26" t="str">
        <x:v>38515</x:v>
      </x:c>
      <x:c r="D81" s="26" t="str">
        <x:v>Patio Ecatepec</x:v>
      </x:c>
      <x:c r="E81" s="26" t="str">
        <x:v>Itzel Dayana Llamas</x:v>
      </x:c>
      <x:c r="F81" s="26" t="str">
        <x:v>Coacalco–Ecatepec</x:v>
      </x:c>
      <x:c r="G81" s="26" t="str">
        <x:v>Sistema crítico</x:v>
      </x:c>
      <x:c r="H81" s="26" t="str">
        <x:v>UKG / cobertura</x:v>
      </x:c>
      <x:c r="I81" s="26" t="str">
        <x:v>¿Dónde se rompe el estándar, quién es dueño y cuál es la evidencia?</x:v>
      </x:c>
      <x:c r="J81" s="26" t="str"/>
      <x:c r="K81" s="26" t="str"/>
      <x:c r="L81" s="26" t="str">
        <x:v>27/11/2026</x:v>
      </x:c>
      <x:c r="M81" s="26" t="str">
        <x:v>Planeada</x:v>
      </x:c>
    </x:row>
    <x:row r="82" ht="34" customHeight="1">
      <x:c r="A82" s="26" t="str">
        <x:v>27/11/2026</x:v>
      </x:c>
      <x:c r="B82" s="26" t="str">
        <x:v>Xmas 26</x:v>
      </x:c>
      <x:c r="C82" s="26" t="str">
        <x:v>38515</x:v>
      </x:c>
      <x:c r="D82" s="26" t="str">
        <x:v>Patio Ecatepec</x:v>
      </x:c>
      <x:c r="E82" s="26" t="str">
        <x:v>Itzel Dayana Llamas</x:v>
      </x:c>
      <x:c r="F82" s="26" t="str">
        <x:v>Coacalco–Ecatepec</x:v>
      </x:c>
      <x:c r="G82" s="26" t="str">
        <x:v>Seguimiento 10 días</x:v>
      </x:c>
      <x:c r="H82" s="26" t="str">
        <x:v>UKG / cobertura</x:v>
      </x:c>
      <x:c r="I82" s="26" t="str">
        <x:v>¿Qué cambió, qué no funcionó y qué obstáculo debemos quitar?</x:v>
      </x:c>
      <x:c r="J82" s="26" t="str"/>
      <x:c r="K82" s="26" t="str"/>
      <x:c r="L82" s="26" t="str">
        <x:v>07/12/2026</x:v>
      </x:c>
      <x:c r="M82" s="26" t="str">
        <x:v>Planeada</x:v>
      </x:c>
    </x:row>
    <x:row r="83" ht="34" customHeight="1">
      <x:c r="A83" s="26" t="str">
        <x:v>07/12/2026</x:v>
      </x:c>
      <x:c r="B83" s="26" t="str">
        <x:v>Xmas 26</x:v>
      </x:c>
      <x:c r="C83" s="26" t="str">
        <x:v>38515</x:v>
      </x:c>
      <x:c r="D83" s="26" t="str">
        <x:v>Patio Ecatepec</x:v>
      </x:c>
      <x:c r="E83" s="26" t="str">
        <x:v>Itzel Dayana Llamas</x:v>
      </x:c>
      <x:c r="F83" s="26" t="str">
        <x:v>Coacalco–Ecatepec</x:v>
      </x:c>
      <x:c r="G83" s="26" t="str">
        <x:v>Desarrollo y talento</x:v>
      </x:c>
      <x:c r="H83" s="26" t="str">
        <x:v>UKG / cobertura</x:v>
      </x:c>
      <x:c r="I83" s="26" t="str">
        <x:v>¿Quién necesita práctica, acompañamiento o cobertura para crecer?</x:v>
      </x:c>
      <x:c r="J83" s="26" t="str"/>
      <x:c r="K83" s="26" t="str"/>
      <x:c r="L83" s="26" t="str">
        <x:v>17/12/2026</x:v>
      </x:c>
      <x:c r="M83" s="26" t="str">
        <x:v>Planeada</x:v>
      </x:c>
    </x:row>
    <x:row r="84" ht="34" customHeight="1">
      <x:c r="A84" s="26" t="str">
        <x:v>17/12/2026</x:v>
      </x:c>
      <x:c r="B84" s="26" t="str">
        <x:v>Xmas 26</x:v>
      </x:c>
      <x:c r="C84" s="26" t="str">
        <x:v>38515</x:v>
      </x:c>
      <x:c r="D84" s="26" t="str">
        <x:v>Patio Ecatepec</x:v>
      </x:c>
      <x:c r="E84" s="26" t="str">
        <x:v>Itzel Dayana Llamas</x:v>
      </x:c>
      <x:c r="F84" s="26" t="str">
        <x:v>Coacalco–Ecatepec</x:v>
      </x:c>
      <x:c r="G84" s="26" t="str">
        <x:v>Mejora continua</x:v>
      </x:c>
      <x:c r="H84" s="26" t="str">
        <x:v>UKG / cobertura</x:v>
      </x:c>
      <x:c r="I84" s="26" t="str">
        <x:v>¿Qué hará distinto el líder en la próxima hora?</x:v>
      </x:c>
      <x:c r="J84" s="26" t="str"/>
      <x:c r="K84" s="26" t="str"/>
      <x:c r="L84" s="26" t="str">
        <x:v>27/12/2026</x:v>
      </x:c>
      <x:c r="M84" s="26" t="str">
        <x:v>Planeada</x:v>
      </x:c>
    </x:row>
    <x:row r="85" ht="34" customHeight="1">
      <x:c r="A85" s="26" t="str">
        <x:v>27/12/2026</x:v>
      </x:c>
      <x:c r="B85" s="26" t="str">
        <x:v>Xmas 26</x:v>
      </x:c>
      <x:c r="C85" s="26" t="str">
        <x:v>38515</x:v>
      </x:c>
      <x:c r="D85" s="26" t="str">
        <x:v>Patio Ecatepec</x:v>
      </x:c>
      <x:c r="E85" s="26" t="str">
        <x:v>Itzel Dayana Llamas</x:v>
      </x:c>
      <x:c r="F85" s="26" t="str">
        <x:v>Coacalco–Ecatepec</x:v>
      </x:c>
      <x:c r="G85" s="26" t="str">
        <x:v>Sistema crítico</x:v>
      </x:c>
      <x:c r="H85" s="26" t="str">
        <x:v>UKG / cobertura</x:v>
      </x:c>
      <x:c r="I85" s="26" t="str">
        <x:v>¿Dónde se rompe el estándar, quién es dueño y cuál es la evidencia?</x:v>
      </x:c>
      <x:c r="J85" s="26" t="str"/>
      <x:c r="K85" s="26" t="str"/>
      <x:c r="L85" s="26" t="str">
        <x:v>06/01/2027</x:v>
      </x:c>
      <x:c r="M85" s="26" t="str">
        <x:v>Planeada</x:v>
      </x:c>
    </x:row>
    <x:row r="86" ht="34" customHeight="1">
      <x:c r="A86" s="26" t="str">
        <x:v>30/08/2026</x:v>
      </x:c>
      <x:c r="B86" s="26" t="str">
        <x:v>Fall 26</x:v>
      </x:c>
      <x:c r="C86" s="26" t="str">
        <x:v>38862</x:v>
      </x:c>
      <x:c r="D86" s="26" t="str">
        <x:v>San Miguel Izcalli</x:v>
      </x:c>
      <x:c r="E86" s="26" t="str">
        <x:v>Daniela Peralta</x:v>
      </x:c>
      <x:c r="F86" s="26" t="str">
        <x:v>Izcalli</x:v>
      </x:c>
      <x:c r="G86" s="26" t="str">
        <x:v>Seguimiento 10 días</x:v>
      </x:c>
      <x:c r="H86" s="26" t="str">
        <x:v>Experiencia</x:v>
      </x:c>
      <x:c r="I86" s="26" t="str">
        <x:v>¿Qué cambió, qué no funcionó y qué obstáculo debemos quitar?</x:v>
      </x:c>
      <x:c r="J86" s="26" t="str"/>
      <x:c r="K86" s="26" t="str"/>
      <x:c r="L86" s="26" t="str">
        <x:v>09/09/2026</x:v>
      </x:c>
      <x:c r="M86" s="26" t="str">
        <x:v>Planeada</x:v>
      </x:c>
    </x:row>
    <x:row r="87" ht="34" customHeight="1">
      <x:c r="A87" s="26" t="str">
        <x:v>09/09/2026</x:v>
      </x:c>
      <x:c r="B87" s="26" t="str">
        <x:v>Fall 26</x:v>
      </x:c>
      <x:c r="C87" s="26" t="str">
        <x:v>38862</x:v>
      </x:c>
      <x:c r="D87" s="26" t="str">
        <x:v>San Miguel Izcalli</x:v>
      </x:c>
      <x:c r="E87" s="26" t="str">
        <x:v>Daniela Peralta</x:v>
      </x:c>
      <x:c r="F87" s="26" t="str">
        <x:v>Izcalli</x:v>
      </x:c>
      <x:c r="G87" s="26" t="str">
        <x:v>Desarrollo y talento</x:v>
      </x:c>
      <x:c r="H87" s="26" t="str">
        <x:v>Experiencia</x:v>
      </x:c>
      <x:c r="I87" s="26" t="str">
        <x:v>¿Quién necesita práctica, acompañamiento o cobertura para crecer?</x:v>
      </x:c>
      <x:c r="J87" s="26" t="str"/>
      <x:c r="K87" s="26" t="str"/>
      <x:c r="L87" s="26" t="str">
        <x:v>19/09/2026</x:v>
      </x:c>
      <x:c r="M87" s="26" t="str">
        <x:v>Planeada</x:v>
      </x:c>
    </x:row>
    <x:row r="88" ht="34" customHeight="1">
      <x:c r="A88" s="26" t="str">
        <x:v>19/09/2026</x:v>
      </x:c>
      <x:c r="B88" s="26" t="str">
        <x:v>Fall 26</x:v>
      </x:c>
      <x:c r="C88" s="26" t="str">
        <x:v>38862</x:v>
      </x:c>
      <x:c r="D88" s="26" t="str">
        <x:v>San Miguel Izcalli</x:v>
      </x:c>
      <x:c r="E88" s="26" t="str">
        <x:v>Daniela Peralta</x:v>
      </x:c>
      <x:c r="F88" s="26" t="str">
        <x:v>Izcalli</x:v>
      </x:c>
      <x:c r="G88" s="26" t="str">
        <x:v>Mejora continua</x:v>
      </x:c>
      <x:c r="H88" s="26" t="str">
        <x:v>Experiencia</x:v>
      </x:c>
      <x:c r="I88" s="26" t="str">
        <x:v>¿Qué hará distinto el líder en la próxima hora?</x:v>
      </x:c>
      <x:c r="J88" s="26" t="str"/>
      <x:c r="K88" s="26" t="str"/>
      <x:c r="L88" s="26" t="str">
        <x:v>29/09/2026</x:v>
      </x:c>
      <x:c r="M88" s="26" t="str">
        <x:v>Planeada</x:v>
      </x:c>
    </x:row>
    <x:row r="89" ht="34" customHeight="1">
      <x:c r="A89" s="26" t="str">
        <x:v>29/09/2026</x:v>
      </x:c>
      <x:c r="B89" s="26" t="str">
        <x:v>Fall 26</x:v>
      </x:c>
      <x:c r="C89" s="26" t="str">
        <x:v>38862</x:v>
      </x:c>
      <x:c r="D89" s="26" t="str">
        <x:v>San Miguel Izcalli</x:v>
      </x:c>
      <x:c r="E89" s="26" t="str">
        <x:v>Daniela Peralta</x:v>
      </x:c>
      <x:c r="F89" s="26" t="str">
        <x:v>Izcalli</x:v>
      </x:c>
      <x:c r="G89" s="26" t="str">
        <x:v>Sistema crítico</x:v>
      </x:c>
      <x:c r="H89" s="26" t="str">
        <x:v>Experiencia</x:v>
      </x:c>
      <x:c r="I89" s="26" t="str">
        <x:v>¿Dónde se rompe el estándar, quién es dueño y cuál es la evidencia?</x:v>
      </x:c>
      <x:c r="J89" s="26" t="str"/>
      <x:c r="K89" s="26" t="str"/>
      <x:c r="L89" s="26" t="str">
        <x:v>09/10/2026</x:v>
      </x:c>
      <x:c r="M89" s="26" t="str">
        <x:v>Planeada</x:v>
      </x:c>
    </x:row>
    <x:row r="90" ht="34" customHeight="1">
      <x:c r="A90" s="26" t="str">
        <x:v>09/10/2026</x:v>
      </x:c>
      <x:c r="B90" s="26" t="str">
        <x:v>Fall 26</x:v>
      </x:c>
      <x:c r="C90" s="26" t="str">
        <x:v>38862</x:v>
      </x:c>
      <x:c r="D90" s="26" t="str">
        <x:v>San Miguel Izcalli</x:v>
      </x:c>
      <x:c r="E90" s="26" t="str">
        <x:v>Daniela Peralta</x:v>
      </x:c>
      <x:c r="F90" s="26" t="str">
        <x:v>Izcalli</x:v>
      </x:c>
      <x:c r="G90" s="26" t="str">
        <x:v>Conversación de desempeño (CDD)</x:v>
      </x:c>
      <x:c r="H90" s="26" t="str">
        <x:v>Experiencia</x:v>
      </x:c>
      <x:c r="I90" s="26" t="str">
        <x:v>¿Qué fortaleza, expectativa y siguiente paso quedarán documentados?</x:v>
      </x:c>
      <x:c r="J90" s="26" t="str"/>
      <x:c r="K90" s="26" t="str"/>
      <x:c r="L90" s="26" t="str">
        <x:v>19/10/2026</x:v>
      </x:c>
      <x:c r="M90" s="26" t="str">
        <x:v>Planeada</x:v>
      </x:c>
    </x:row>
    <x:row r="91" ht="34" customHeight="1">
      <x:c r="A91" s="26" t="str">
        <x:v>19/10/2026</x:v>
      </x:c>
      <x:c r="B91" s="26" t="str">
        <x:v>Fall 26</x:v>
      </x:c>
      <x:c r="C91" s="26" t="str">
        <x:v>38862</x:v>
      </x:c>
      <x:c r="D91" s="26" t="str">
        <x:v>San Miguel Izcalli</x:v>
      </x:c>
      <x:c r="E91" s="26" t="str">
        <x:v>Daniela Peralta</x:v>
      </x:c>
      <x:c r="F91" s="26" t="str">
        <x:v>Izcalli</x:v>
      </x:c>
      <x:c r="G91" s="26" t="str">
        <x:v>Conversación de desempeño (CDD)</x:v>
      </x:c>
      <x:c r="H91" s="26" t="str">
        <x:v>Experiencia</x:v>
      </x:c>
      <x:c r="I91" s="26" t="str">
        <x:v>¿Qué fortaleza, expectativa y siguiente paso quedarán documentados?</x:v>
      </x:c>
      <x:c r="J91" s="26" t="str"/>
      <x:c r="K91" s="26" t="str"/>
      <x:c r="L91" s="26" t="str">
        <x:v>29/10/2026</x:v>
      </x:c>
      <x:c r="M91" s="26" t="str">
        <x:v>Planeada</x:v>
      </x:c>
    </x:row>
    <x:row r="92" ht="34" customHeight="1">
      <x:c r="A92" s="26" t="str">
        <x:v>29/10/2026</x:v>
      </x:c>
      <x:c r="B92" s="26" t="str">
        <x:v>Fall 26</x:v>
      </x:c>
      <x:c r="C92" s="26" t="str">
        <x:v>38862</x:v>
      </x:c>
      <x:c r="D92" s="26" t="str">
        <x:v>San Miguel Izcalli</x:v>
      </x:c>
      <x:c r="E92" s="26" t="str">
        <x:v>Daniela Peralta</x:v>
      </x:c>
      <x:c r="F92" s="26" t="str">
        <x:v>Izcalli</x:v>
      </x:c>
      <x:c r="G92" s="26" t="str">
        <x:v>Conversación de desempeño (CDD)</x:v>
      </x:c>
      <x:c r="H92" s="26" t="str">
        <x:v>Experiencia</x:v>
      </x:c>
      <x:c r="I92" s="26" t="str">
        <x:v>¿Qué fortaleza, expectativa y siguiente paso quedarán documentados?</x:v>
      </x:c>
      <x:c r="J92" s="26" t="str"/>
      <x:c r="K92" s="26" t="str"/>
      <x:c r="L92" s="26" t="str">
        <x:v>08/11/2026</x:v>
      </x:c>
      <x:c r="M92" s="26" t="str">
        <x:v>Planeada</x:v>
      </x:c>
    </x:row>
    <x:row r="93" ht="34" customHeight="1">
      <x:c r="A93" s="26" t="str">
        <x:v>08/11/2026</x:v>
      </x:c>
      <x:c r="B93" s="26" t="str">
        <x:v>Xmas 26</x:v>
      </x:c>
      <x:c r="C93" s="26" t="str">
        <x:v>38862</x:v>
      </x:c>
      <x:c r="D93" s="26" t="str">
        <x:v>San Miguel Izcalli</x:v>
      </x:c>
      <x:c r="E93" s="26" t="str">
        <x:v>Daniela Peralta</x:v>
      </x:c>
      <x:c r="F93" s="26" t="str">
        <x:v>Izcalli</x:v>
      </x:c>
      <x:c r="G93" s="26" t="str">
        <x:v>Sistema crítico</x:v>
      </x:c>
      <x:c r="H93" s="26" t="str">
        <x:v>Experiencia</x:v>
      </x:c>
      <x:c r="I93" s="26" t="str">
        <x:v>¿Dónde se rompe el estándar, quién es dueño y cuál es la evidencia?</x:v>
      </x:c>
      <x:c r="J93" s="26" t="str"/>
      <x:c r="K93" s="26" t="str"/>
      <x:c r="L93" s="26" t="str">
        <x:v>18/11/2026</x:v>
      </x:c>
      <x:c r="M93" s="26" t="str">
        <x:v>Planeada</x:v>
      </x:c>
    </x:row>
    <x:row r="94" ht="34" customHeight="1">
      <x:c r="A94" s="26" t="str">
        <x:v>18/11/2026</x:v>
      </x:c>
      <x:c r="B94" s="26" t="str">
        <x:v>Xmas 26</x:v>
      </x:c>
      <x:c r="C94" s="26" t="str">
        <x:v>38862</x:v>
      </x:c>
      <x:c r="D94" s="26" t="str">
        <x:v>San Miguel Izcalli</x:v>
      </x:c>
      <x:c r="E94" s="26" t="str">
        <x:v>Daniela Peralta</x:v>
      </x:c>
      <x:c r="F94" s="26" t="str">
        <x:v>Izcalli</x:v>
      </x:c>
      <x:c r="G94" s="26" t="str">
        <x:v>Seguimiento 10 días</x:v>
      </x:c>
      <x:c r="H94" s="26" t="str">
        <x:v>Experiencia</x:v>
      </x:c>
      <x:c r="I94" s="26" t="str">
        <x:v>¿Qué cambió, qué no funcionó y qué obstáculo debemos quitar?</x:v>
      </x:c>
      <x:c r="J94" s="26" t="str"/>
      <x:c r="K94" s="26" t="str"/>
      <x:c r="L94" s="26" t="str">
        <x:v>28/11/2026</x:v>
      </x:c>
      <x:c r="M94" s="26" t="str">
        <x:v>Planeada</x:v>
      </x:c>
    </x:row>
    <x:row r="95" ht="34" customHeight="1">
      <x:c r="A95" s="26" t="str">
        <x:v>28/11/2026</x:v>
      </x:c>
      <x:c r="B95" s="26" t="str">
        <x:v>Xmas 26</x:v>
      </x:c>
      <x:c r="C95" s="26" t="str">
        <x:v>38862</x:v>
      </x:c>
      <x:c r="D95" s="26" t="str">
        <x:v>San Miguel Izcalli</x:v>
      </x:c>
      <x:c r="E95" s="26" t="str">
        <x:v>Daniela Peralta</x:v>
      </x:c>
      <x:c r="F95" s="26" t="str">
        <x:v>Izcalli</x:v>
      </x:c>
      <x:c r="G95" s="26" t="str">
        <x:v>Desarrollo y talento</x:v>
      </x:c>
      <x:c r="H95" s="26" t="str">
        <x:v>Experiencia</x:v>
      </x:c>
      <x:c r="I95" s="26" t="str">
        <x:v>¿Quién necesita práctica, acompañamiento o cobertura para crecer?</x:v>
      </x:c>
      <x:c r="J95" s="26" t="str"/>
      <x:c r="K95" s="26" t="str"/>
      <x:c r="L95" s="26" t="str">
        <x:v>08/12/2026</x:v>
      </x:c>
      <x:c r="M95" s="26" t="str">
        <x:v>Planeada</x:v>
      </x:c>
    </x:row>
    <x:row r="96" ht="34" customHeight="1">
      <x:c r="A96" s="26" t="str">
        <x:v>08/12/2026</x:v>
      </x:c>
      <x:c r="B96" s="26" t="str">
        <x:v>Xmas 26</x:v>
      </x:c>
      <x:c r="C96" s="26" t="str">
        <x:v>38862</x:v>
      </x:c>
      <x:c r="D96" s="26" t="str">
        <x:v>San Miguel Izcalli</x:v>
      </x:c>
      <x:c r="E96" s="26" t="str">
        <x:v>Daniela Peralta</x:v>
      </x:c>
      <x:c r="F96" s="26" t="str">
        <x:v>Izcalli</x:v>
      </x:c>
      <x:c r="G96" s="26" t="str">
        <x:v>Mejora continua</x:v>
      </x:c>
      <x:c r="H96" s="26" t="str">
        <x:v>Experiencia</x:v>
      </x:c>
      <x:c r="I96" s="26" t="str">
        <x:v>¿Qué hará distinto el líder en la próxima hora?</x:v>
      </x:c>
      <x:c r="J96" s="26" t="str"/>
      <x:c r="K96" s="26" t="str"/>
      <x:c r="L96" s="26" t="str">
        <x:v>18/12/2026</x:v>
      </x:c>
      <x:c r="M96" s="26" t="str">
        <x:v>Planeada</x:v>
      </x:c>
    </x:row>
    <x:row r="97" ht="34" customHeight="1">
      <x:c r="A97" s="26" t="str">
        <x:v>18/12/2026</x:v>
      </x:c>
      <x:c r="B97" s="26" t="str">
        <x:v>Xmas 26</x:v>
      </x:c>
      <x:c r="C97" s="26" t="str">
        <x:v>38862</x:v>
      </x:c>
      <x:c r="D97" s="26" t="str">
        <x:v>San Miguel Izcalli</x:v>
      </x:c>
      <x:c r="E97" s="26" t="str">
        <x:v>Daniela Peralta</x:v>
      </x:c>
      <x:c r="F97" s="26" t="str">
        <x:v>Izcalli</x:v>
      </x:c>
      <x:c r="G97" s="26" t="str">
        <x:v>Sistema crítico</x:v>
      </x:c>
      <x:c r="H97" s="26" t="str">
        <x:v>Experiencia</x:v>
      </x:c>
      <x:c r="I97" s="26" t="str">
        <x:v>¿Dónde se rompe el estándar, quién es dueño y cuál es la evidencia?</x:v>
      </x:c>
      <x:c r="J97" s="26" t="str"/>
      <x:c r="K97" s="26" t="str"/>
      <x:c r="L97" s="26" t="str">
        <x:v>28/12/2026</x:v>
      </x:c>
      <x:c r="M97" s="26" t="str">
        <x:v>Planeada</x:v>
      </x:c>
    </x:row>
    <x:row r="98" ht="34" customHeight="1">
      <x:c r="A98" s="26" t="str">
        <x:v>28/12/2026</x:v>
      </x:c>
      <x:c r="B98" s="26" t="str">
        <x:v>Xmas 26</x:v>
      </x:c>
      <x:c r="C98" s="26" t="str">
        <x:v>38862</x:v>
      </x:c>
      <x:c r="D98" s="26" t="str">
        <x:v>San Miguel Izcalli</x:v>
      </x:c>
      <x:c r="E98" s="26" t="str">
        <x:v>Daniela Peralta</x:v>
      </x:c>
      <x:c r="F98" s="26" t="str">
        <x:v>Izcalli</x:v>
      </x:c>
      <x:c r="G98" s="26" t="str">
        <x:v>Seguimiento 10 días</x:v>
      </x:c>
      <x:c r="H98" s="26" t="str">
        <x:v>Experiencia</x:v>
      </x:c>
      <x:c r="I98" s="26" t="str">
        <x:v>¿Qué cambió, qué no funcionó y qué obstáculo debemos quitar?</x:v>
      </x:c>
      <x:c r="J98" s="26" t="str"/>
      <x:c r="K98" s="26" t="str"/>
      <x:c r="L98" s="26" t="str">
        <x:v>07/01/2027</x:v>
      </x:c>
      <x:c r="M98" s="26" t="str">
        <x:v>Planeada</x:v>
      </x:c>
    </x:row>
    <x:row r="99" ht="34" customHeight="1">
      <x:c r="A99" s="26" t="str">
        <x:v>31/08/2026</x:v>
      </x:c>
      <x:c r="B99" s="26" t="str">
        <x:v>Fall 26</x:v>
      </x:c>
      <x:c r="C99" s="26" t="str">
        <x:v>38604</x:v>
      </x:c>
      <x:c r="D99" s="26" t="str">
        <x:v>Cosmopol</x:v>
      </x:c>
      <x:c r="E99" s="26" t="str">
        <x:v>Mary</x:v>
      </x:c>
      <x:c r="F99" s="26" t="str">
        <x:v>Coacalco–Ecatepec</x:v>
      </x:c>
      <x:c r="G99" s="26" t="str">
        <x:v>Desarrollo y talento</x:v>
      </x:c>
      <x:c r="H99" s="26" t="str">
        <x:v>Conexión</x:v>
      </x:c>
      <x:c r="I99" s="26" t="str">
        <x:v>¿Quién necesita práctica, acompañamiento o cobertura para crecer?</x:v>
      </x:c>
      <x:c r="J99" s="26" t="str"/>
      <x:c r="K99" s="26" t="str"/>
      <x:c r="L99" s="26" t="str">
        <x:v>10/09/2026</x:v>
      </x:c>
      <x:c r="M99" s="26" t="str">
        <x:v>Planeada</x:v>
      </x:c>
    </x:row>
    <x:row r="100" ht="34" customHeight="1">
      <x:c r="A100" s="26" t="str">
        <x:v>10/09/2026</x:v>
      </x:c>
      <x:c r="B100" s="26" t="str">
        <x:v>Fall 26</x:v>
      </x:c>
      <x:c r="C100" s="26" t="str">
        <x:v>38604</x:v>
      </x:c>
      <x:c r="D100" s="26" t="str">
        <x:v>Cosmopol</x:v>
      </x:c>
      <x:c r="E100" s="26" t="str">
        <x:v>Mary</x:v>
      </x:c>
      <x:c r="F100" s="26" t="str">
        <x:v>Coacalco–Ecatepec</x:v>
      </x:c>
      <x:c r="G100" s="26" t="str">
        <x:v>Desarrollo y talento</x:v>
      </x:c>
      <x:c r="H100" s="26" t="str">
        <x:v>Conexión</x:v>
      </x:c>
      <x:c r="I100" s="26" t="str">
        <x:v>¿Quién necesita práctica, acompañamiento o cobertura para crecer?</x:v>
      </x:c>
      <x:c r="J100" s="26" t="str"/>
      <x:c r="K100" s="26" t="str"/>
      <x:c r="L100" s="26" t="str">
        <x:v>20/09/2026</x:v>
      </x:c>
      <x:c r="M100" s="26" t="str">
        <x:v>Planeada</x:v>
      </x:c>
    </x:row>
    <x:row r="101" ht="34" customHeight="1">
      <x:c r="A101" s="26" t="str">
        <x:v>20/09/2026</x:v>
      </x:c>
      <x:c r="B101" s="26" t="str">
        <x:v>Fall 26</x:v>
      </x:c>
      <x:c r="C101" s="26" t="str">
        <x:v>38604</x:v>
      </x:c>
      <x:c r="D101" s="26" t="str">
        <x:v>Cosmopol</x:v>
      </x:c>
      <x:c r="E101" s="26" t="str">
        <x:v>Mary</x:v>
      </x:c>
      <x:c r="F101" s="26" t="str">
        <x:v>Coacalco–Ecatepec</x:v>
      </x:c>
      <x:c r="G101" s="26" t="str">
        <x:v>Sistema crítico</x:v>
      </x:c>
      <x:c r="H101" s="26" t="str">
        <x:v>Conexión</x:v>
      </x:c>
      <x:c r="I101" s="26" t="str">
        <x:v>¿Dónde se rompe el estándar, quién es dueño y cuál es la evidencia?</x:v>
      </x:c>
      <x:c r="J101" s="26" t="str"/>
      <x:c r="K101" s="26" t="str"/>
      <x:c r="L101" s="26" t="str">
        <x:v>30/09/2026</x:v>
      </x:c>
      <x:c r="M101" s="26" t="str">
        <x:v>Planeada</x:v>
      </x:c>
    </x:row>
    <x:row r="102" ht="34" customHeight="1">
      <x:c r="A102" s="26" t="str">
        <x:v>30/09/2026</x:v>
      </x:c>
      <x:c r="B102" s="26" t="str">
        <x:v>Fall 26</x:v>
      </x:c>
      <x:c r="C102" s="26" t="str">
        <x:v>38604</x:v>
      </x:c>
      <x:c r="D102" s="26" t="str">
        <x:v>Cosmopol</x:v>
      </x:c>
      <x:c r="E102" s="26" t="str">
        <x:v>Mary</x:v>
      </x:c>
      <x:c r="F102" s="26" t="str">
        <x:v>Coacalco–Ecatepec</x:v>
      </x:c>
      <x:c r="G102" s="26" t="str">
        <x:v>Desarrollo y talento</x:v>
      </x:c>
      <x:c r="H102" s="26" t="str">
        <x:v>Conexión</x:v>
      </x:c>
      <x:c r="I102" s="26" t="str">
        <x:v>¿Quién necesita práctica, acompañamiento o cobertura para crecer?</x:v>
      </x:c>
      <x:c r="J102" s="26" t="str"/>
      <x:c r="K102" s="26" t="str"/>
      <x:c r="L102" s="26" t="str">
        <x:v>10/10/2026</x:v>
      </x:c>
      <x:c r="M102" s="26" t="str">
        <x:v>Planeada</x:v>
      </x:c>
    </x:row>
    <x:row r="103" ht="34" customHeight="1">
      <x:c r="A103" s="26" t="str">
        <x:v>10/10/2026</x:v>
      </x:c>
      <x:c r="B103" s="26" t="str">
        <x:v>Fall 26</x:v>
      </x:c>
      <x:c r="C103" s="26" t="str">
        <x:v>38604</x:v>
      </x:c>
      <x:c r="D103" s="26" t="str">
        <x:v>Cosmopol</x:v>
      </x:c>
      <x:c r="E103" s="26" t="str">
        <x:v>Mary</x:v>
      </x:c>
      <x:c r="F103" s="26" t="str">
        <x:v>Coacalco–Ecatepec</x:v>
      </x:c>
      <x:c r="G103" s="26" t="str">
        <x:v>Conversación de desempeño (CDD)</x:v>
      </x:c>
      <x:c r="H103" s="26" t="str">
        <x:v>Conexión</x:v>
      </x:c>
      <x:c r="I103" s="26" t="str">
        <x:v>¿Qué fortaleza, expectativa y siguiente paso quedarán documentados?</x:v>
      </x:c>
      <x:c r="J103" s="26" t="str"/>
      <x:c r="K103" s="26" t="str"/>
      <x:c r="L103" s="26" t="str">
        <x:v>20/10/2026</x:v>
      </x:c>
      <x:c r="M103" s="26" t="str">
        <x:v>Planeada</x:v>
      </x:c>
    </x:row>
    <x:row r="104" ht="34" customHeight="1">
      <x:c r="A104" s="26" t="str">
        <x:v>20/10/2026</x:v>
      </x:c>
      <x:c r="B104" s="26" t="str">
        <x:v>Fall 26</x:v>
      </x:c>
      <x:c r="C104" s="26" t="str">
        <x:v>38604</x:v>
      </x:c>
      <x:c r="D104" s="26" t="str">
        <x:v>Cosmopol</x:v>
      </x:c>
      <x:c r="E104" s="26" t="str">
        <x:v>Mary</x:v>
      </x:c>
      <x:c r="F104" s="26" t="str">
        <x:v>Coacalco–Ecatepec</x:v>
      </x:c>
      <x:c r="G104" s="26" t="str">
        <x:v>Conversación de desempeño (CDD)</x:v>
      </x:c>
      <x:c r="H104" s="26" t="str">
        <x:v>Conexión</x:v>
      </x:c>
      <x:c r="I104" s="26" t="str">
        <x:v>¿Qué fortaleza, expectativa y siguiente paso quedarán documentados?</x:v>
      </x:c>
      <x:c r="J104" s="26" t="str"/>
      <x:c r="K104" s="26" t="str"/>
      <x:c r="L104" s="26" t="str">
        <x:v>30/10/2026</x:v>
      </x:c>
      <x:c r="M104" s="26" t="str">
        <x:v>Planeada</x:v>
      </x:c>
    </x:row>
    <x:row r="105" ht="34" customHeight="1">
      <x:c r="A105" s="26" t="str">
        <x:v>30/10/2026</x:v>
      </x:c>
      <x:c r="B105" s="26" t="str">
        <x:v>Fall 26</x:v>
      </x:c>
      <x:c r="C105" s="26" t="str">
        <x:v>38604</x:v>
      </x:c>
      <x:c r="D105" s="26" t="str">
        <x:v>Cosmopol</x:v>
      </x:c>
      <x:c r="E105" s="26" t="str">
        <x:v>Mary</x:v>
      </x:c>
      <x:c r="F105" s="26" t="str">
        <x:v>Coacalco–Ecatepec</x:v>
      </x:c>
      <x:c r="G105" s="26" t="str">
        <x:v>Conversación de desempeño (CDD)</x:v>
      </x:c>
      <x:c r="H105" s="26" t="str">
        <x:v>Conexión</x:v>
      </x:c>
      <x:c r="I105" s="26" t="str">
        <x:v>¿Qué fortaleza, expectativa y siguiente paso quedarán documentados?</x:v>
      </x:c>
      <x:c r="J105" s="26" t="str"/>
      <x:c r="K105" s="26" t="str"/>
      <x:c r="L105" s="26" t="str">
        <x:v>09/11/2026</x:v>
      </x:c>
      <x:c r="M105" s="26" t="str">
        <x:v>Planeada</x:v>
      </x:c>
    </x:row>
    <x:row r="106" ht="34" customHeight="1">
      <x:c r="A106" s="26" t="str">
        <x:v>09/11/2026</x:v>
      </x:c>
      <x:c r="B106" s="26" t="str">
        <x:v>Xmas 26</x:v>
      </x:c>
      <x:c r="C106" s="26" t="str">
        <x:v>38604</x:v>
      </x:c>
      <x:c r="D106" s="26" t="str">
        <x:v>Cosmopol</x:v>
      </x:c>
      <x:c r="E106" s="26" t="str">
        <x:v>Mary</x:v>
      </x:c>
      <x:c r="F106" s="26" t="str">
        <x:v>Coacalco–Ecatepec</x:v>
      </x:c>
      <x:c r="G106" s="26" t="str">
        <x:v>Desarrollo y talento</x:v>
      </x:c>
      <x:c r="H106" s="26" t="str">
        <x:v>Conexión</x:v>
      </x:c>
      <x:c r="I106" s="26" t="str">
        <x:v>¿Quién necesita práctica, acompañamiento o cobertura para crecer?</x:v>
      </x:c>
      <x:c r="J106" s="26" t="str"/>
      <x:c r="K106" s="26" t="str"/>
      <x:c r="L106" s="26" t="str">
        <x:v>19/11/2026</x:v>
      </x:c>
      <x:c r="M106" s="26" t="str">
        <x:v>Planeada</x:v>
      </x:c>
    </x:row>
    <x:row r="107" ht="34" customHeight="1">
      <x:c r="A107" s="26" t="str">
        <x:v>19/11/2026</x:v>
      </x:c>
      <x:c r="B107" s="26" t="str">
        <x:v>Xmas 26</x:v>
      </x:c>
      <x:c r="C107" s="26" t="str">
        <x:v>38604</x:v>
      </x:c>
      <x:c r="D107" s="26" t="str">
        <x:v>Cosmopol</x:v>
      </x:c>
      <x:c r="E107" s="26" t="str">
        <x:v>Mary</x:v>
      </x:c>
      <x:c r="F107" s="26" t="str">
        <x:v>Coacalco–Ecatepec</x:v>
      </x:c>
      <x:c r="G107" s="26" t="str">
        <x:v>Desarrollo y talento</x:v>
      </x:c>
      <x:c r="H107" s="26" t="str">
        <x:v>Conexión</x:v>
      </x:c>
      <x:c r="I107" s="26" t="str">
        <x:v>¿Quién necesita práctica, acompañamiento o cobertura para crecer?</x:v>
      </x:c>
      <x:c r="J107" s="26" t="str"/>
      <x:c r="K107" s="26" t="str"/>
      <x:c r="L107" s="26" t="str">
        <x:v>29/11/2026</x:v>
      </x:c>
      <x:c r="M107" s="26" t="str">
        <x:v>Planeada</x:v>
      </x:c>
    </x:row>
    <x:row r="108" ht="34" customHeight="1">
      <x:c r="A108" s="26" t="str">
        <x:v>29/11/2026</x:v>
      </x:c>
      <x:c r="B108" s="26" t="str">
        <x:v>Xmas 26</x:v>
      </x:c>
      <x:c r="C108" s="26" t="str">
        <x:v>38604</x:v>
      </x:c>
      <x:c r="D108" s="26" t="str">
        <x:v>Cosmopol</x:v>
      </x:c>
      <x:c r="E108" s="26" t="str">
        <x:v>Mary</x:v>
      </x:c>
      <x:c r="F108" s="26" t="str">
        <x:v>Coacalco–Ecatepec</x:v>
      </x:c>
      <x:c r="G108" s="26" t="str">
        <x:v>Desarrollo y talento</x:v>
      </x:c>
      <x:c r="H108" s="26" t="str">
        <x:v>Conexión</x:v>
      </x:c>
      <x:c r="I108" s="26" t="str">
        <x:v>¿Quién necesita práctica, acompañamiento o cobertura para crecer?</x:v>
      </x:c>
      <x:c r="J108" s="26" t="str"/>
      <x:c r="K108" s="26" t="str"/>
      <x:c r="L108" s="26" t="str">
        <x:v>09/12/2026</x:v>
      </x:c>
      <x:c r="M108" s="26" t="str">
        <x:v>Planeada</x:v>
      </x:c>
    </x:row>
    <x:row r="109" ht="34" customHeight="1">
      <x:c r="A109" s="26" t="str">
        <x:v>09/12/2026</x:v>
      </x:c>
      <x:c r="B109" s="26" t="str">
        <x:v>Xmas 26</x:v>
      </x:c>
      <x:c r="C109" s="26" t="str">
        <x:v>38604</x:v>
      </x:c>
      <x:c r="D109" s="26" t="str">
        <x:v>Cosmopol</x:v>
      </x:c>
      <x:c r="E109" s="26" t="str">
        <x:v>Mary</x:v>
      </x:c>
      <x:c r="F109" s="26" t="str">
        <x:v>Coacalco–Ecatepec</x:v>
      </x:c>
      <x:c r="G109" s="26" t="str">
        <x:v>Sistema crítico</x:v>
      </x:c>
      <x:c r="H109" s="26" t="str">
        <x:v>Conexión</x:v>
      </x:c>
      <x:c r="I109" s="26" t="str">
        <x:v>¿Dónde se rompe el estándar, quién es dueño y cuál es la evidencia?</x:v>
      </x:c>
      <x:c r="J109" s="26" t="str"/>
      <x:c r="K109" s="26" t="str"/>
      <x:c r="L109" s="26" t="str">
        <x:v>19/12/2026</x:v>
      </x:c>
      <x:c r="M109" s="26" t="str">
        <x:v>Planeada</x:v>
      </x:c>
    </x:row>
    <x:row r="110" ht="34" customHeight="1">
      <x:c r="A110" s="26" t="str">
        <x:v>19/12/2026</x:v>
      </x:c>
      <x:c r="B110" s="26" t="str">
        <x:v>Xmas 26</x:v>
      </x:c>
      <x:c r="C110" s="26" t="str">
        <x:v>38604</x:v>
      </x:c>
      <x:c r="D110" s="26" t="str">
        <x:v>Cosmopol</x:v>
      </x:c>
      <x:c r="E110" s="26" t="str">
        <x:v>Mary</x:v>
      </x:c>
      <x:c r="F110" s="26" t="str">
        <x:v>Coacalco–Ecatepec</x:v>
      </x:c>
      <x:c r="G110" s="26" t="str">
        <x:v>Desarrollo y talento</x:v>
      </x:c>
      <x:c r="H110" s="26" t="str">
        <x:v>Conexión</x:v>
      </x:c>
      <x:c r="I110" s="26" t="str">
        <x:v>¿Quién necesita práctica, acompañamiento o cobertura para crecer?</x:v>
      </x:c>
      <x:c r="J110" s="26" t="str"/>
      <x:c r="K110" s="26" t="str"/>
      <x:c r="L110" s="26" t="str">
        <x:v>29/12/2026</x:v>
      </x:c>
      <x:c r="M110" s="26" t="str">
        <x:v>Planeada</x:v>
      </x:c>
    </x:row>
    <x:row r="111" ht="34" customHeight="1">
      <x:c r="A111" s="26" t="str">
        <x:v>29/12/2026</x:v>
      </x:c>
      <x:c r="B111" s="26" t="str">
        <x:v>Xmas 26</x:v>
      </x:c>
      <x:c r="C111" s="26" t="str">
        <x:v>38604</x:v>
      </x:c>
      <x:c r="D111" s="26" t="str">
        <x:v>Cosmopol</x:v>
      </x:c>
      <x:c r="E111" s="26" t="str">
        <x:v>Mary</x:v>
      </x:c>
      <x:c r="F111" s="26" t="str">
        <x:v>Coacalco–Ecatepec</x:v>
      </x:c>
      <x:c r="G111" s="26" t="str">
        <x:v>Desarrollo y talento</x:v>
      </x:c>
      <x:c r="H111" s="26" t="str">
        <x:v>Conexión</x:v>
      </x:c>
      <x:c r="I111" s="26" t="str">
        <x:v>¿Quién necesita práctica, acompañamiento o cobertura para crecer?</x:v>
      </x:c>
      <x:c r="J111" s="26" t="str"/>
      <x:c r="K111" s="26" t="str"/>
      <x:c r="L111" s="26" t="str">
        <x:v>08/01/2027</x:v>
      </x:c>
      <x:c r="M111" s="26" t="str">
        <x:v>Planeada</x:v>
      </x:c>
    </x:row>
    <x:row r="112" ht="34" customHeight="1">
      <x:c r="A112" s="26" t="str">
        <x:v>01/09/2026</x:v>
      </x:c>
      <x:c r="B112" s="26" t="str">
        <x:v>Fall 26</x:v>
      </x:c>
      <x:c r="C112" s="26" t="str">
        <x:v>38894</x:v>
      </x:c>
      <x:c r="D112" s="26" t="str">
        <x:v>Galerías Perinorte</x:v>
      </x:c>
      <x:c r="E112" s="26" t="str">
        <x:v>Marlene García</x:v>
      </x:c>
      <x:c r="F112" s="26" t="str">
        <x:v>Izcalli</x:v>
      </x:c>
      <x:c r="G112" s="26" t="str">
        <x:v>Mejora continua</x:v>
      </x:c>
      <x:c r="H112" s="26" t="str">
        <x:v>Bebida</x:v>
      </x:c>
      <x:c r="I112" s="26" t="str">
        <x:v>¿Qué hará distinto el líder en la próxima hora?</x:v>
      </x:c>
      <x:c r="J112" s="26" t="str"/>
      <x:c r="K112" s="26" t="str"/>
      <x:c r="L112" s="26" t="str">
        <x:v>11/09/2026</x:v>
      </x:c>
      <x:c r="M112" s="26" t="str">
        <x:v>Planeada</x:v>
      </x:c>
    </x:row>
    <x:row r="113" ht="34" customHeight="1">
      <x:c r="A113" s="26" t="str">
        <x:v>11/09/2026</x:v>
      </x:c>
      <x:c r="B113" s="26" t="str">
        <x:v>Fall 26</x:v>
      </x:c>
      <x:c r="C113" s="26" t="str">
        <x:v>38894</x:v>
      </x:c>
      <x:c r="D113" s="26" t="str">
        <x:v>Galerías Perinorte</x:v>
      </x:c>
      <x:c r="E113" s="26" t="str">
        <x:v>Marlene García</x:v>
      </x:c>
      <x:c r="F113" s="26" t="str">
        <x:v>Izcalli</x:v>
      </x:c>
      <x:c r="G113" s="26" t="str">
        <x:v>Sistema crítico</x:v>
      </x:c>
      <x:c r="H113" s="26" t="str">
        <x:v>Bebida</x:v>
      </x:c>
      <x:c r="I113" s="26" t="str">
        <x:v>¿Dónde se rompe el estándar, quién es dueño y cuál es la evidencia?</x:v>
      </x:c>
      <x:c r="J113" s="26" t="str"/>
      <x:c r="K113" s="26" t="str"/>
      <x:c r="L113" s="26" t="str">
        <x:v>21/09/2026</x:v>
      </x:c>
      <x:c r="M113" s="26" t="str">
        <x:v>Planeada</x:v>
      </x:c>
    </x:row>
    <x:row r="114" ht="34" customHeight="1">
      <x:c r="A114" s="26" t="str">
        <x:v>21/09/2026</x:v>
      </x:c>
      <x:c r="B114" s="26" t="str">
        <x:v>Fall 26</x:v>
      </x:c>
      <x:c r="C114" s="26" t="str">
        <x:v>38894</x:v>
      </x:c>
      <x:c r="D114" s="26" t="str">
        <x:v>Galerías Perinorte</x:v>
      </x:c>
      <x:c r="E114" s="26" t="str">
        <x:v>Marlene García</x:v>
      </x:c>
      <x:c r="F114" s="26" t="str">
        <x:v>Izcalli</x:v>
      </x:c>
      <x:c r="G114" s="26" t="str">
        <x:v>Seguimiento 10 días</x:v>
      </x:c>
      <x:c r="H114" s="26" t="str">
        <x:v>Bebida</x:v>
      </x:c>
      <x:c r="I114" s="26" t="str">
        <x:v>¿Qué cambió, qué no funcionó y qué obstáculo debemos quitar?</x:v>
      </x:c>
      <x:c r="J114" s="26" t="str"/>
      <x:c r="K114" s="26" t="str"/>
      <x:c r="L114" s="26" t="str">
        <x:v>01/10/2026</x:v>
      </x:c>
      <x:c r="M114" s="26" t="str">
        <x:v>Planeada</x:v>
      </x:c>
    </x:row>
    <x:row r="115" ht="34" customHeight="1">
      <x:c r="A115" s="26" t="str">
        <x:v>01/10/2026</x:v>
      </x:c>
      <x:c r="B115" s="26" t="str">
        <x:v>Fall 26</x:v>
      </x:c>
      <x:c r="C115" s="26" t="str">
        <x:v>38894</x:v>
      </x:c>
      <x:c r="D115" s="26" t="str">
        <x:v>Galerías Perinorte</x:v>
      </x:c>
      <x:c r="E115" s="26" t="str">
        <x:v>Marlene García</x:v>
      </x:c>
      <x:c r="F115" s="26" t="str">
        <x:v>Izcalli</x:v>
      </x:c>
      <x:c r="G115" s="26" t="str">
        <x:v>Conversación de desempeño (CDD)</x:v>
      </x:c>
      <x:c r="H115" s="26" t="str">
        <x:v>Bebida</x:v>
      </x:c>
      <x:c r="I115" s="26" t="str">
        <x:v>¿Qué fortaleza, expectativa y siguiente paso quedarán documentados?</x:v>
      </x:c>
      <x:c r="J115" s="26" t="str"/>
      <x:c r="K115" s="26" t="str"/>
      <x:c r="L115" s="26" t="str">
        <x:v>11/10/2026</x:v>
      </x:c>
      <x:c r="M115" s="26" t="str">
        <x:v>Planeada</x:v>
      </x:c>
    </x:row>
    <x:row r="116" ht="34" customHeight="1">
      <x:c r="A116" s="26" t="str">
        <x:v>11/10/2026</x:v>
      </x:c>
      <x:c r="B116" s="26" t="str">
        <x:v>Fall 26</x:v>
      </x:c>
      <x:c r="C116" s="26" t="str">
        <x:v>38894</x:v>
      </x:c>
      <x:c r="D116" s="26" t="str">
        <x:v>Galerías Perinorte</x:v>
      </x:c>
      <x:c r="E116" s="26" t="str">
        <x:v>Marlene García</x:v>
      </x:c>
      <x:c r="F116" s="26" t="str">
        <x:v>Izcalli</x:v>
      </x:c>
      <x:c r="G116" s="26" t="str">
        <x:v>Conversación de desempeño (CDD)</x:v>
      </x:c>
      <x:c r="H116" s="26" t="str">
        <x:v>Bebida</x:v>
      </x:c>
      <x:c r="I116" s="26" t="str">
        <x:v>¿Qué fortaleza, expectativa y siguiente paso quedarán documentados?</x:v>
      </x:c>
      <x:c r="J116" s="26" t="str"/>
      <x:c r="K116" s="26" t="str"/>
      <x:c r="L116" s="26" t="str">
        <x:v>21/10/2026</x:v>
      </x:c>
      <x:c r="M116" s="26" t="str">
        <x:v>Planeada</x:v>
      </x:c>
    </x:row>
    <x:row r="117" ht="34" customHeight="1">
      <x:c r="A117" s="26" t="str">
        <x:v>21/10/2026</x:v>
      </x:c>
      <x:c r="B117" s="26" t="str">
        <x:v>Fall 26</x:v>
      </x:c>
      <x:c r="C117" s="26" t="str">
        <x:v>38894</x:v>
      </x:c>
      <x:c r="D117" s="26" t="str">
        <x:v>Galerías Perinorte</x:v>
      </x:c>
      <x:c r="E117" s="26" t="str">
        <x:v>Marlene García</x:v>
      </x:c>
      <x:c r="F117" s="26" t="str">
        <x:v>Izcalli</x:v>
      </x:c>
      <x:c r="G117" s="26" t="str">
        <x:v>Conversación de desempeño (CDD)</x:v>
      </x:c>
      <x:c r="H117" s="26" t="str">
        <x:v>Bebida</x:v>
      </x:c>
      <x:c r="I117" s="26" t="str">
        <x:v>¿Qué fortaleza, expectativa y siguiente paso quedarán documentados?</x:v>
      </x:c>
      <x:c r="J117" s="26" t="str"/>
      <x:c r="K117" s="26" t="str"/>
      <x:c r="L117" s="26" t="str">
        <x:v>31/10/2026</x:v>
      </x:c>
      <x:c r="M117" s="26" t="str">
        <x:v>Planeada</x:v>
      </x:c>
    </x:row>
    <x:row r="118" ht="34" customHeight="1">
      <x:c r="A118" s="26" t="str">
        <x:v>31/10/2026</x:v>
      </x:c>
      <x:c r="B118" s="26" t="str">
        <x:v>Fall 26</x:v>
      </x:c>
      <x:c r="C118" s="26" t="str">
        <x:v>38894</x:v>
      </x:c>
      <x:c r="D118" s="26" t="str">
        <x:v>Galerías Perinorte</x:v>
      </x:c>
      <x:c r="E118" s="26" t="str">
        <x:v>Marlene García</x:v>
      </x:c>
      <x:c r="F118" s="26" t="str">
        <x:v>Izcalli</x:v>
      </x:c>
      <x:c r="G118" s="26" t="str">
        <x:v>Conversación de desempeño (CDD)</x:v>
      </x:c>
      <x:c r="H118" s="26" t="str">
        <x:v>Bebida</x:v>
      </x:c>
      <x:c r="I118" s="26" t="str">
        <x:v>¿Qué fortaleza, expectativa y siguiente paso quedarán documentados?</x:v>
      </x:c>
      <x:c r="J118" s="26" t="str"/>
      <x:c r="K118" s="26" t="str"/>
      <x:c r="L118" s="26" t="str">
        <x:v>10/11/2026</x:v>
      </x:c>
      <x:c r="M118" s="26" t="str">
        <x:v>Planeada</x:v>
      </x:c>
    </x:row>
    <x:row r="119" ht="34" customHeight="1">
      <x:c r="A119" s="26" t="str">
        <x:v>10/11/2026</x:v>
      </x:c>
      <x:c r="B119" s="26" t="str">
        <x:v>Xmas 26</x:v>
      </x:c>
      <x:c r="C119" s="26" t="str">
        <x:v>38894</x:v>
      </x:c>
      <x:c r="D119" s="26" t="str">
        <x:v>Galerías Perinorte</x:v>
      </x:c>
      <x:c r="E119" s="26" t="str">
        <x:v>Marlene García</x:v>
      </x:c>
      <x:c r="F119" s="26" t="str">
        <x:v>Izcalli</x:v>
      </x:c>
      <x:c r="G119" s="26" t="str">
        <x:v>Desarrollo y talento</x:v>
      </x:c>
      <x:c r="H119" s="26" t="str">
        <x:v>Bebida</x:v>
      </x:c>
      <x:c r="I119" s="26" t="str">
        <x:v>¿Quién necesita práctica, acompañamiento o cobertura para crecer?</x:v>
      </x:c>
      <x:c r="J119" s="26" t="str"/>
      <x:c r="K119" s="26" t="str"/>
      <x:c r="L119" s="26" t="str">
        <x:v>20/11/2026</x:v>
      </x:c>
      <x:c r="M119" s="26" t="str">
        <x:v>Planeada</x:v>
      </x:c>
    </x:row>
    <x:row r="120" ht="34" customHeight="1">
      <x:c r="A120" s="26" t="str">
        <x:v>20/11/2026</x:v>
      </x:c>
      <x:c r="B120" s="26" t="str">
        <x:v>Xmas 26</x:v>
      </x:c>
      <x:c r="C120" s="26" t="str">
        <x:v>38894</x:v>
      </x:c>
      <x:c r="D120" s="26" t="str">
        <x:v>Galerías Perinorte</x:v>
      </x:c>
      <x:c r="E120" s="26" t="str">
        <x:v>Marlene García</x:v>
      </x:c>
      <x:c r="F120" s="26" t="str">
        <x:v>Izcalli</x:v>
      </x:c>
      <x:c r="G120" s="26" t="str">
        <x:v>Mejora continua</x:v>
      </x:c>
      <x:c r="H120" s="26" t="str">
        <x:v>Bebida</x:v>
      </x:c>
      <x:c r="I120" s="26" t="str">
        <x:v>¿Qué hará distinto el líder en la próxima hora?</x:v>
      </x:c>
      <x:c r="J120" s="26" t="str"/>
      <x:c r="K120" s="26" t="str"/>
      <x:c r="L120" s="26" t="str">
        <x:v>30/11/2026</x:v>
      </x:c>
      <x:c r="M120" s="26" t="str">
        <x:v>Planeada</x:v>
      </x:c>
    </x:row>
    <x:row r="121" ht="34" customHeight="1">
      <x:c r="A121" s="26" t="str">
        <x:v>30/11/2026</x:v>
      </x:c>
      <x:c r="B121" s="26" t="str">
        <x:v>Xmas 26</x:v>
      </x:c>
      <x:c r="C121" s="26" t="str">
        <x:v>38894</x:v>
      </x:c>
      <x:c r="D121" s="26" t="str">
        <x:v>Galerías Perinorte</x:v>
      </x:c>
      <x:c r="E121" s="26" t="str">
        <x:v>Marlene García</x:v>
      </x:c>
      <x:c r="F121" s="26" t="str">
        <x:v>Izcalli</x:v>
      </x:c>
      <x:c r="G121" s="26" t="str">
        <x:v>Sistema crítico</x:v>
      </x:c>
      <x:c r="H121" s="26" t="str">
        <x:v>Bebida</x:v>
      </x:c>
      <x:c r="I121" s="26" t="str">
        <x:v>¿Dónde se rompe el estándar, quién es dueño y cuál es la evidencia?</x:v>
      </x:c>
      <x:c r="J121" s="26" t="str"/>
      <x:c r="K121" s="26" t="str"/>
      <x:c r="L121" s="26" t="str">
        <x:v>10/12/2026</x:v>
      </x:c>
      <x:c r="M121" s="26" t="str">
        <x:v>Planeada</x:v>
      </x:c>
    </x:row>
    <x:row r="122" ht="34" customHeight="1">
      <x:c r="A122" s="26" t="str">
        <x:v>10/12/2026</x:v>
      </x:c>
      <x:c r="B122" s="26" t="str">
        <x:v>Xmas 26</x:v>
      </x:c>
      <x:c r="C122" s="26" t="str">
        <x:v>38894</x:v>
      </x:c>
      <x:c r="D122" s="26" t="str">
        <x:v>Galerías Perinorte</x:v>
      </x:c>
      <x:c r="E122" s="26" t="str">
        <x:v>Marlene García</x:v>
      </x:c>
      <x:c r="F122" s="26" t="str">
        <x:v>Izcalli</x:v>
      </x:c>
      <x:c r="G122" s="26" t="str">
        <x:v>Seguimiento 10 días</x:v>
      </x:c>
      <x:c r="H122" s="26" t="str">
        <x:v>Bebida</x:v>
      </x:c>
      <x:c r="I122" s="26" t="str">
        <x:v>¿Qué cambió, qué no funcionó y qué obstáculo debemos quitar?</x:v>
      </x:c>
      <x:c r="J122" s="26" t="str"/>
      <x:c r="K122" s="26" t="str"/>
      <x:c r="L122" s="26" t="str">
        <x:v>20/12/2026</x:v>
      </x:c>
      <x:c r="M122" s="26" t="str">
        <x:v>Planeada</x:v>
      </x:c>
    </x:row>
    <x:row r="123" ht="34" customHeight="1">
      <x:c r="A123" s="26" t="str">
        <x:v>20/12/2026</x:v>
      </x:c>
      <x:c r="B123" s="26" t="str">
        <x:v>Xmas 26</x:v>
      </x:c>
      <x:c r="C123" s="26" t="str">
        <x:v>38894</x:v>
      </x:c>
      <x:c r="D123" s="26" t="str">
        <x:v>Galerías Perinorte</x:v>
      </x:c>
      <x:c r="E123" s="26" t="str">
        <x:v>Marlene García</x:v>
      </x:c>
      <x:c r="F123" s="26" t="str">
        <x:v>Izcalli</x:v>
      </x:c>
      <x:c r="G123" s="26" t="str">
        <x:v>Desarrollo y talento</x:v>
      </x:c>
      <x:c r="H123" s="26" t="str">
        <x:v>Bebida</x:v>
      </x:c>
      <x:c r="I123" s="26" t="str">
        <x:v>¿Quién necesita práctica, acompañamiento o cobertura para crecer?</x:v>
      </x:c>
      <x:c r="J123" s="26" t="str"/>
      <x:c r="K123" s="26" t="str"/>
      <x:c r="L123" s="26" t="str">
        <x:v>30/12/2026</x:v>
      </x:c>
      <x:c r="M123" s="26" t="str">
        <x:v>Planeada</x:v>
      </x:c>
    </x:row>
    <x:row r="124" ht="34" customHeight="1">
      <x:c r="A124" s="26" t="str">
        <x:v>30/12/2026</x:v>
      </x:c>
      <x:c r="B124" s="26" t="str">
        <x:v>Xmas 26</x:v>
      </x:c>
      <x:c r="C124" s="26" t="str">
        <x:v>38894</x:v>
      </x:c>
      <x:c r="D124" s="26" t="str">
        <x:v>Galerías Perinorte</x:v>
      </x:c>
      <x:c r="E124" s="26" t="str">
        <x:v>Marlene García</x:v>
      </x:c>
      <x:c r="F124" s="26" t="str">
        <x:v>Izcalli</x:v>
      </x:c>
      <x:c r="G124" s="26" t="str">
        <x:v>Mejora continua</x:v>
      </x:c>
      <x:c r="H124" s="26" t="str">
        <x:v>Bebida</x:v>
      </x:c>
      <x:c r="I124" s="26" t="str">
        <x:v>¿Qué hará distinto el líder en la próxima hora?</x:v>
      </x:c>
      <x:c r="J124" s="26" t="str"/>
      <x:c r="K124" s="26" t="str"/>
      <x:c r="L124" s="26" t="str">
        <x:v>09/01/2027</x:v>
      </x:c>
      <x:c r="M124" s="26" t="str">
        <x:v>Planeada</x:v>
      </x:c>
    </x:row>
    <x:row r="125" ht="34" customHeight="1">
      <x:c r="A125" s="26" t="str">
        <x:v>02/09/2026</x:v>
      </x:c>
      <x:c r="B125" s="26" t="str">
        <x:v>Fall 26</x:v>
      </x:c>
      <x:c r="C125" s="26" t="str">
        <x:v>43193</x:v>
      </x:c>
      <x:c r="D125" s="26" t="str">
        <x:v>Cosmopol N1</x:v>
      </x:c>
      <x:c r="E125" s="26" t="str">
        <x:v>Luis Pérez</x:v>
      </x:c>
      <x:c r="F125" s="26" t="str">
        <x:v>Coacalco–Ecatepec</x:v>
      </x:c>
      <x:c r="G125" s="26" t="str">
        <x:v>Sistema crítico</x:v>
      </x:c>
      <x:c r="H125" s="26" t="str">
        <x:v>Recuperación de órdenes</x:v>
      </x:c>
      <x:c r="I125" s="26" t="str">
        <x:v>¿Dónde se rompe el estándar, quién es dueño y cuál es la evidencia?</x:v>
      </x:c>
      <x:c r="J125" s="26" t="str"/>
      <x:c r="K125" s="26" t="str"/>
      <x:c r="L125" s="26" t="str">
        <x:v>12/09/2026</x:v>
      </x:c>
      <x:c r="M125" s="26" t="str">
        <x:v>Planeada</x:v>
      </x:c>
    </x:row>
    <x:row r="126" ht="34" customHeight="1">
      <x:c r="A126" s="26" t="str">
        <x:v>12/09/2026</x:v>
      </x:c>
      <x:c r="B126" s="26" t="str">
        <x:v>Fall 26</x:v>
      </x:c>
      <x:c r="C126" s="26" t="str">
        <x:v>43193</x:v>
      </x:c>
      <x:c r="D126" s="26" t="str">
        <x:v>Cosmopol N1</x:v>
      </x:c>
      <x:c r="E126" s="26" t="str">
        <x:v>Luis Pérez</x:v>
      </x:c>
      <x:c r="F126" s="26" t="str">
        <x:v>Coacalco–Ecatepec</x:v>
      </x:c>
      <x:c r="G126" s="26" t="str">
        <x:v>Seguimiento 10 días</x:v>
      </x:c>
      <x:c r="H126" s="26" t="str">
        <x:v>Recuperación de órdenes</x:v>
      </x:c>
      <x:c r="I126" s="26" t="str">
        <x:v>¿Qué cambió, qué no funcionó y qué obstáculo debemos quitar?</x:v>
      </x:c>
      <x:c r="J126" s="26" t="str"/>
      <x:c r="K126" s="26" t="str"/>
      <x:c r="L126" s="26" t="str">
        <x:v>22/09/2026</x:v>
      </x:c>
      <x:c r="M126" s="26" t="str">
        <x:v>Planeada</x:v>
      </x:c>
    </x:row>
    <x:row r="127" ht="34" customHeight="1">
      <x:c r="A127" s="26" t="str">
        <x:v>22/09/2026</x:v>
      </x:c>
      <x:c r="B127" s="26" t="str">
        <x:v>Fall 26</x:v>
      </x:c>
      <x:c r="C127" s="26" t="str">
        <x:v>43193</x:v>
      </x:c>
      <x:c r="D127" s="26" t="str">
        <x:v>Cosmopol N1</x:v>
      </x:c>
      <x:c r="E127" s="26" t="str">
        <x:v>Luis Pérez</x:v>
      </x:c>
      <x:c r="F127" s="26" t="str">
        <x:v>Coacalco–Ecatepec</x:v>
      </x:c>
      <x:c r="G127" s="26" t="str">
        <x:v>Desarrollo y talento</x:v>
      </x:c>
      <x:c r="H127" s="26" t="str">
        <x:v>Recuperación de órdenes</x:v>
      </x:c>
      <x:c r="I127" s="26" t="str">
        <x:v>¿Quién necesita práctica, acompañamiento o cobertura para crecer?</x:v>
      </x:c>
      <x:c r="J127" s="26" t="str"/>
      <x:c r="K127" s="26" t="str"/>
      <x:c r="L127" s="26" t="str">
        <x:v>02/10/2026</x:v>
      </x:c>
      <x:c r="M127" s="26" t="str">
        <x:v>Planeada</x:v>
      </x:c>
    </x:row>
    <x:row r="128" ht="34" customHeight="1">
      <x:c r="A128" s="26" t="str">
        <x:v>02/10/2026</x:v>
      </x:c>
      <x:c r="B128" s="26" t="str">
        <x:v>Fall 26</x:v>
      </x:c>
      <x:c r="C128" s="26" t="str">
        <x:v>43193</x:v>
      </x:c>
      <x:c r="D128" s="26" t="str">
        <x:v>Cosmopol N1</x:v>
      </x:c>
      <x:c r="E128" s="26" t="str">
        <x:v>Luis Pérez</x:v>
      </x:c>
      <x:c r="F128" s="26" t="str">
        <x:v>Coacalco–Ecatepec</x:v>
      </x:c>
      <x:c r="G128" s="26" t="str">
        <x:v>Conversación de desempeño (CDD)</x:v>
      </x:c>
      <x:c r="H128" s="26" t="str">
        <x:v>Recuperación de órdenes</x:v>
      </x:c>
      <x:c r="I128" s="26" t="str">
        <x:v>¿Qué fortaleza, expectativa y siguiente paso quedarán documentados?</x:v>
      </x:c>
      <x:c r="J128" s="26" t="str"/>
      <x:c r="K128" s="26" t="str"/>
      <x:c r="L128" s="26" t="str">
        <x:v>12/10/2026</x:v>
      </x:c>
      <x:c r="M128" s="26" t="str">
        <x:v>Planeada</x:v>
      </x:c>
    </x:row>
    <x:row r="129" ht="34" customHeight="1">
      <x:c r="A129" s="26" t="str">
        <x:v>12/10/2026</x:v>
      </x:c>
      <x:c r="B129" s="26" t="str">
        <x:v>Fall 26</x:v>
      </x:c>
      <x:c r="C129" s="26" t="str">
        <x:v>43193</x:v>
      </x:c>
      <x:c r="D129" s="26" t="str">
        <x:v>Cosmopol N1</x:v>
      </x:c>
      <x:c r="E129" s="26" t="str">
        <x:v>Luis Pérez</x:v>
      </x:c>
      <x:c r="F129" s="26" t="str">
        <x:v>Coacalco–Ecatepec</x:v>
      </x:c>
      <x:c r="G129" s="26" t="str">
        <x:v>Conversación de desempeño (CDD)</x:v>
      </x:c>
      <x:c r="H129" s="26" t="str">
        <x:v>Recuperación de órdenes</x:v>
      </x:c>
      <x:c r="I129" s="26" t="str">
        <x:v>¿Qué fortaleza, expectativa y siguiente paso quedarán documentados?</x:v>
      </x:c>
      <x:c r="J129" s="26" t="str"/>
      <x:c r="K129" s="26" t="str"/>
      <x:c r="L129" s="26" t="str">
        <x:v>22/10/2026</x:v>
      </x:c>
      <x:c r="M129" s="26" t="str">
        <x:v>Planeada</x:v>
      </x:c>
    </x:row>
    <x:row r="130" ht="34" customHeight="1">
      <x:c r="A130" s="26" t="str">
        <x:v>22/10/2026</x:v>
      </x:c>
      <x:c r="B130" s="26" t="str">
        <x:v>Fall 26</x:v>
      </x:c>
      <x:c r="C130" s="26" t="str">
        <x:v>43193</x:v>
      </x:c>
      <x:c r="D130" s="26" t="str">
        <x:v>Cosmopol N1</x:v>
      </x:c>
      <x:c r="E130" s="26" t="str">
        <x:v>Luis Pérez</x:v>
      </x:c>
      <x:c r="F130" s="26" t="str">
        <x:v>Coacalco–Ecatepec</x:v>
      </x:c>
      <x:c r="G130" s="26" t="str">
        <x:v>Conversación de desempeño (CDD)</x:v>
      </x:c>
      <x:c r="H130" s="26" t="str">
        <x:v>Recuperación de órdenes</x:v>
      </x:c>
      <x:c r="I130" s="26" t="str">
        <x:v>¿Qué fortaleza, expectativa y siguiente paso quedarán documentados?</x:v>
      </x:c>
      <x:c r="J130" s="26" t="str"/>
      <x:c r="K130" s="26" t="str"/>
      <x:c r="L130" s="26" t="str">
        <x:v>01/11/2026</x:v>
      </x:c>
      <x:c r="M130" s="26" t="str">
        <x:v>Planeada</x:v>
      </x:c>
    </x:row>
    <x:row r="131" ht="34" customHeight="1">
      <x:c r="A131" s="26" t="str">
        <x:v>01/11/2026</x:v>
      </x:c>
      <x:c r="B131" s="26" t="str">
        <x:v>Fall 26</x:v>
      </x:c>
      <x:c r="C131" s="26" t="str">
        <x:v>43193</x:v>
      </x:c>
      <x:c r="D131" s="26" t="str">
        <x:v>Cosmopol N1</x:v>
      </x:c>
      <x:c r="E131" s="26" t="str">
        <x:v>Luis Pérez</x:v>
      </x:c>
      <x:c r="F131" s="26" t="str">
        <x:v>Coacalco–Ecatepec</x:v>
      </x:c>
      <x:c r="G131" s="26" t="str">
        <x:v>Desarrollo y talento</x:v>
      </x:c>
      <x:c r="H131" s="26" t="str">
        <x:v>Recuperación de órdenes</x:v>
      </x:c>
      <x:c r="I131" s="26" t="str">
        <x:v>¿Quién necesita práctica, acompañamiento o cobertura para crecer?</x:v>
      </x:c>
      <x:c r="J131" s="26" t="str"/>
      <x:c r="K131" s="26" t="str"/>
      <x:c r="L131" s="26" t="str">
        <x:v>11/11/2026</x:v>
      </x:c>
      <x:c r="M131" s="26" t="str">
        <x:v>Planeada</x:v>
      </x:c>
    </x:row>
    <x:row r="132" ht="34" customHeight="1">
      <x:c r="A132" s="26" t="str">
        <x:v>11/11/2026</x:v>
      </x:c>
      <x:c r="B132" s="26" t="str">
        <x:v>Xmas 26</x:v>
      </x:c>
      <x:c r="C132" s="26" t="str">
        <x:v>43193</x:v>
      </x:c>
      <x:c r="D132" s="26" t="str">
        <x:v>Cosmopol N1</x:v>
      </x:c>
      <x:c r="E132" s="26" t="str">
        <x:v>Luis Pérez</x:v>
      </x:c>
      <x:c r="F132" s="26" t="str">
        <x:v>Coacalco–Ecatepec</x:v>
      </x:c>
      <x:c r="G132" s="26" t="str">
        <x:v>Mejora continua</x:v>
      </x:c>
      <x:c r="H132" s="26" t="str">
        <x:v>Recuperación de órdenes</x:v>
      </x:c>
      <x:c r="I132" s="26" t="str">
        <x:v>¿Qué hará distinto el líder en la próxima hora?</x:v>
      </x:c>
      <x:c r="J132" s="26" t="str"/>
      <x:c r="K132" s="26" t="str"/>
      <x:c r="L132" s="26" t="str">
        <x:v>21/11/2026</x:v>
      </x:c>
      <x:c r="M132" s="26" t="str">
        <x:v>Planeada</x:v>
      </x:c>
    </x:row>
    <x:row r="133" ht="34" customHeight="1">
      <x:c r="A133" s="26" t="str">
        <x:v>21/11/2026</x:v>
      </x:c>
      <x:c r="B133" s="26" t="str">
        <x:v>Xmas 26</x:v>
      </x:c>
      <x:c r="C133" s="26" t="str">
        <x:v>43193</x:v>
      </x:c>
      <x:c r="D133" s="26" t="str">
        <x:v>Cosmopol N1</x:v>
      </x:c>
      <x:c r="E133" s="26" t="str">
        <x:v>Luis Pérez</x:v>
      </x:c>
      <x:c r="F133" s="26" t="str">
        <x:v>Coacalco–Ecatepec</x:v>
      </x:c>
      <x:c r="G133" s="26" t="str">
        <x:v>Sistema crítico</x:v>
      </x:c>
      <x:c r="H133" s="26" t="str">
        <x:v>Recuperación de órdenes</x:v>
      </x:c>
      <x:c r="I133" s="26" t="str">
        <x:v>¿Dónde se rompe el estándar, quién es dueño y cuál es la evidencia?</x:v>
      </x:c>
      <x:c r="J133" s="26" t="str"/>
      <x:c r="K133" s="26" t="str"/>
      <x:c r="L133" s="26" t="str">
        <x:v>01/12/2026</x:v>
      </x:c>
      <x:c r="M133" s="26" t="str">
        <x:v>Planeada</x:v>
      </x:c>
    </x:row>
    <x:row r="134" ht="34" customHeight="1">
      <x:c r="A134" s="26" t="str">
        <x:v>01/12/2026</x:v>
      </x:c>
      <x:c r="B134" s="26" t="str">
        <x:v>Xmas 26</x:v>
      </x:c>
      <x:c r="C134" s="26" t="str">
        <x:v>43193</x:v>
      </x:c>
      <x:c r="D134" s="26" t="str">
        <x:v>Cosmopol N1</x:v>
      </x:c>
      <x:c r="E134" s="26" t="str">
        <x:v>Luis Pérez</x:v>
      </x:c>
      <x:c r="F134" s="26" t="str">
        <x:v>Coacalco–Ecatepec</x:v>
      </x:c>
      <x:c r="G134" s="26" t="str">
        <x:v>Seguimiento 10 días</x:v>
      </x:c>
      <x:c r="H134" s="26" t="str">
        <x:v>Recuperación de órdenes</x:v>
      </x:c>
      <x:c r="I134" s="26" t="str">
        <x:v>¿Qué cambió, qué no funcionó y qué obstáculo debemos quitar?</x:v>
      </x:c>
      <x:c r="J134" s="26" t="str"/>
      <x:c r="K134" s="26" t="str"/>
      <x:c r="L134" s="26" t="str">
        <x:v>11/12/2026</x:v>
      </x:c>
      <x:c r="M134" s="26" t="str">
        <x:v>Planeada</x:v>
      </x:c>
    </x:row>
    <x:row r="135" ht="34" customHeight="1">
      <x:c r="A135" s="26" t="str">
        <x:v>11/12/2026</x:v>
      </x:c>
      <x:c r="B135" s="26" t="str">
        <x:v>Xmas 26</x:v>
      </x:c>
      <x:c r="C135" s="26" t="str">
        <x:v>43193</x:v>
      </x:c>
      <x:c r="D135" s="26" t="str">
        <x:v>Cosmopol N1</x:v>
      </x:c>
      <x:c r="E135" s="26" t="str">
        <x:v>Luis Pérez</x:v>
      </x:c>
      <x:c r="F135" s="26" t="str">
        <x:v>Coacalco–Ecatepec</x:v>
      </x:c>
      <x:c r="G135" s="26" t="str">
        <x:v>Desarrollo y talento</x:v>
      </x:c>
      <x:c r="H135" s="26" t="str">
        <x:v>Recuperación de órdenes</x:v>
      </x:c>
      <x:c r="I135" s="26" t="str">
        <x:v>¿Quién necesita práctica, acompañamiento o cobertura para crecer?</x:v>
      </x:c>
      <x:c r="J135" s="26" t="str"/>
      <x:c r="K135" s="26" t="str"/>
      <x:c r="L135" s="26" t="str">
        <x:v>21/12/2026</x:v>
      </x:c>
      <x:c r="M135" s="26" t="str">
        <x:v>Planeada</x:v>
      </x:c>
    </x:row>
    <x:row r="136" ht="34" customHeight="1">
      <x:c r="A136" s="26" t="str">
        <x:v>21/12/2026</x:v>
      </x:c>
      <x:c r="B136" s="26" t="str">
        <x:v>Xmas 26</x:v>
      </x:c>
      <x:c r="C136" s="26" t="str">
        <x:v>43193</x:v>
      </x:c>
      <x:c r="D136" s="26" t="str">
        <x:v>Cosmopol N1</x:v>
      </x:c>
      <x:c r="E136" s="26" t="str">
        <x:v>Luis Pérez</x:v>
      </x:c>
      <x:c r="F136" s="26" t="str">
        <x:v>Coacalco–Ecatepec</x:v>
      </x:c>
      <x:c r="G136" s="26" t="str">
        <x:v>Mejora continua</x:v>
      </x:c>
      <x:c r="H136" s="26" t="str">
        <x:v>Recuperación de órdenes</x:v>
      </x:c>
      <x:c r="I136" s="26" t="str">
        <x:v>¿Qué hará distinto el líder en la próxima hora?</x:v>
      </x:c>
      <x:c r="J136" s="26" t="str"/>
      <x:c r="K136" s="26" t="str"/>
      <x:c r="L136" s="26" t="str">
        <x:v>31/12/2026</x:v>
      </x:c>
      <x:c r="M136" s="26" t="str">
        <x:v>Planeada</x:v>
      </x:c>
    </x:row>
    <x:row r="137" ht="34" customHeight="1">
      <x:c r="A137" s="26" t="str">
        <x:v>31/12/2026</x:v>
      </x:c>
      <x:c r="B137" s="26" t="str">
        <x:v>Xmas 26</x:v>
      </x:c>
      <x:c r="C137" s="26" t="str">
        <x:v>43193</x:v>
      </x:c>
      <x:c r="D137" s="26" t="str">
        <x:v>Cosmopol N1</x:v>
      </x:c>
      <x:c r="E137" s="26" t="str">
        <x:v>Luis Pérez</x:v>
      </x:c>
      <x:c r="F137" s="26" t="str">
        <x:v>Coacalco–Ecatepec</x:v>
      </x:c>
      <x:c r="G137" s="26" t="str">
        <x:v>Sistema crítico</x:v>
      </x:c>
      <x:c r="H137" s="26" t="str">
        <x:v>Recuperación de órdenes</x:v>
      </x:c>
      <x:c r="I137" s="26" t="str">
        <x:v>¿Dónde se rompe el estándar, quién es dueño y cuál es la evidencia?</x:v>
      </x:c>
      <x:c r="J137" s="26" t="str"/>
      <x:c r="K137" s="26" t="str"/>
      <x:c r="L137" s="26" t="str">
        <x:v>10/01/2027</x:v>
      </x:c>
      <x:c r="M137" s="26" t="str">
        <x:v>Planeada</x:v>
      </x:c>
    </x:row>
    <x:row r="138" ht="34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</x:row>
    <x:row r="139" ht="34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</x:row>
    <x:row r="140" ht="34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</x:row>
    <x:row r="141" ht="34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</x:row>
    <x:row r="142" ht="34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</x:row>
    <x:row r="143" ht="34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</x:row>
    <x:row r="144" ht="34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</x:row>
    <x:row r="145" ht="34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</x:row>
    <x:row r="146" ht="34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</x:row>
    <x:row r="147" ht="34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</x:row>
    <x:row r="148" ht="34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</x:row>
    <x:row r="149" ht="34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</x:row>
    <x:row r="150" ht="34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</x:row>
    <x:row r="151" ht="34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</x:row>
    <x:row r="152" ht="34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</x:row>
    <x:row r="153" ht="34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</x:row>
    <x:row r="154" ht="34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</x:row>
    <x:row r="155" ht="34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</x:row>
    <x:row r="156" ht="34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</x:row>
    <x:row r="157" ht="34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</x:row>
    <x:row r="158" ht="34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</x:row>
    <x:row r="159" ht="34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</x:row>
    <x:row r="160" ht="34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</x:row>
    <x:row r="161" ht="34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</x:row>
    <x:row r="162" ht="34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</x:row>
    <x:row r="163" ht="34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</x:row>
    <x:row r="164" ht="34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</x:row>
    <x:row r="165" ht="34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</x:row>
    <x:row r="166" ht="34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</x:row>
    <x:row r="167" ht="34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</x:row>
    <x:row r="168" ht="34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</x:row>
    <x:row r="169" ht="34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</x:row>
    <x:row r="170" ht="34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</x:row>
    <x:row r="171" ht="34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</x:row>
    <x:row r="172" ht="34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</x:row>
    <x:row r="173" ht="34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</x:row>
    <x:row r="174" ht="34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</x:row>
    <x:row r="175" ht="34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</x:row>
    <x:row r="176" ht="34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</x:row>
    <x:row r="177" ht="34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</x:row>
    <x:row r="178" ht="34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</x:row>
    <x:row r="179" ht="34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</x:row>
    <x:row r="180" ht="34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</x:row>
    <x:row r="181" ht="34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</x:row>
    <x:row r="182" ht="34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</x:row>
    <x:row r="183" ht="34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</x:row>
    <x:row r="184" ht="34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</x:row>
    <x:row r="185" ht="34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</x:row>
    <x:row r="186" ht="34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</x:row>
    <x:row r="187" ht="34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</x:row>
    <x:row r="188" ht="34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</x:row>
    <x:row r="189" ht="34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</x:row>
    <x:row r="190" ht="34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</x:row>
    <x:row r="191" ht="34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</x:row>
    <x:row r="192" ht="34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</x:row>
    <x:row r="193" ht="34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</x:row>
    <x:row r="194" ht="34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</x:row>
    <x:row r="195" ht="34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</x:row>
    <x:row r="196" ht="34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</x:row>
    <x:row r="197" ht="34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</x:row>
    <x:row r="198" ht="34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</x:row>
    <x:row r="199" ht="34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</x:row>
    <x:row r="200" ht="34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</x:row>
    <x:row r="201" ht="34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</x:row>
    <x:row r="202" ht="34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</x:row>
    <x:row r="203" ht="34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</x:row>
    <x:row r="204" ht="34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</x:row>
    <x:row r="205" ht="34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</x:row>
    <x:row r="206" ht="34" customHeight="1">
      <x:c r="A206" s="26"/>
      <x:c r="B206" s="26"/>
      <x:c r="C206" s="26"/>
      <x:c r="D206" s="26"/>
      <x:c r="E206" s="26"/>
      <x:c r="F206" s="26"/>
      <x:c r="G206" s="26"/>
      <x:c r="H206" s="26"/>
      <x:c r="I206" s="26"/>
      <x:c r="J206" s="26"/>
      <x:c r="K206" s="26"/>
      <x:c r="L206" s="26"/>
      <x:c r="M206" s="26"/>
    </x:row>
    <x:row r="207" ht="34" customHeight="1">
      <x:c r="A207" s="26"/>
      <x:c r="B207" s="26"/>
      <x:c r="C207" s="26"/>
      <x:c r="D207" s="26"/>
      <x:c r="E207" s="26"/>
      <x:c r="F207" s="26"/>
      <x:c r="G207" s="26"/>
      <x:c r="H207" s="26"/>
      <x:c r="I207" s="26"/>
      <x:c r="J207" s="26"/>
      <x:c r="K207" s="26"/>
      <x:c r="L207" s="26"/>
      <x:c r="M207" s="26"/>
    </x:row>
  </x:sheetData>
  <x:mergeCells>
    <x:mergeCell ref="A2:M2"/>
    <x:mergeCell ref="A3:M3"/>
  </x:mergeCells>
  <x:dataValidations count="4">
    <x:dataValidation type="list" sqref="B8:B207">
      <x:formula1>"Fall 26,Xmas 26"</x:formula1>
    </x:dataValidation>
    <x:dataValidation type="list" sqref="G8:G207">
      <x:formula1>"Mejora continua,Sistema crítico,Seguimiento 10 días,Desarrollo y talento,Conversación de desempeño (CDD),Junta Regional,PPK · informativo,Administrativo / soporte"</x:formula1>
    </x:dataValidation>
    <x:dataValidation type="list" sqref="H8:H207">
      <x:formula1>"Experiencia,Conexión,Bebida,Recuperación de órdenes,Duty Roster / limpieza,UKG / cobertura,Inventario / back,Efectivo,RSA"</x:formula1>
    </x:dataValidation>
    <x:dataValidation type="list" sqref="M8:M207">
      <x:formula1>"Planeada,En proceso,Validada,Reprogramada,Bloqueada"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3" hidden="0" customWidth="1"/>
    <x:col min="4" max="4" width="22" hidden="0" customWidth="1"/>
    <x:col min="5" max="5" width="30" hidden="0" customWidth="1"/>
    <x:col min="6" max="6" width="18" hidden="0" customWidth="1"/>
    <x:col min="7" max="7" width="15" hidden="0" customWidth="1"/>
    <x:col min="8" max="8" width="16" hidden="0" customWidth="1"/>
    <x:col min="9" max="9" width="18" hidden="0" customWidth="1"/>
    <x:col min="10" max="10" width="25" hidden="0" customWidth="1"/>
    <x:col min="11" max="11" width="15" hidden="0" customWidth="1"/>
    <x:col min="12" max="12" width="4" hidden="0" customWidth="1"/>
  </x:cols>
  <x:sheetData>
    <x:row r="2" ht="34" customHeight="1">
      <x:c r="A2" s="3" t="str">
        <x:v>ACCIONES · Una práctica que se pueda ver</x:v>
      </x:c>
      <x:c r="B2" s="3" t="str">
        <x:v>ACCIONES · Una práctica que se pueda ver</x:v>
      </x:c>
      <x:c r="C2" s="3" t="str">
        <x:v>ACCIONES · Una práctica que se pueda ver</x:v>
      </x:c>
      <x:c r="D2" s="3" t="str">
        <x:v>ACCIONES · Una práctica que se pueda ver</x:v>
      </x:c>
      <x:c r="E2" s="3" t="str">
        <x:v>ACCIONES · Una práctica que se pueda ver</x:v>
      </x:c>
      <x:c r="F2" s="3" t="str">
        <x:v>ACCIONES · Una práctica que se pueda ver</x:v>
      </x:c>
      <x:c r="G2" s="3" t="str">
        <x:v>ACCIONES · Una práctica que se pueda ver</x:v>
      </x:c>
      <x:c r="H2" s="3" t="str">
        <x:v>ACCIONES · Una práctica que se pueda ver</x:v>
      </x:c>
      <x:c r="I2" s="3" t="str">
        <x:v>ACCIONES · Una práctica que se pueda ver</x:v>
      </x:c>
      <x:c r="J2" s="3" t="str">
        <x:v>ACCIONES · Una práctica que se pueda ver</x:v>
      </x:c>
      <x:c r="K2" s="3" t="str">
        <x:v>ACCIONES · Una práctica que se pueda ver</x:v>
      </x:c>
    </x:row>
    <x:row r="3" ht="26" customHeight="1">
      <x:c r="A3" s="6" t="str">
        <x:v>No más de una acción por visita. Si no tiene dueño, fecha y evidencia, no existe.</x:v>
      </x:c>
      <x:c r="B3" s="6" t="str">
        <x:v>No más de una acción por visita. Si no tiene dueño, fecha y evidencia, no existe.</x:v>
      </x:c>
      <x:c r="C3" s="6" t="str">
        <x:v>No más de una acción por visita. Si no tiene dueño, fecha y evidencia, no existe.</x:v>
      </x:c>
      <x:c r="D3" s="6" t="str">
        <x:v>No más de una acción por visita. Si no tiene dueño, fecha y evidencia, no existe.</x:v>
      </x:c>
      <x:c r="E3" s="6" t="str">
        <x:v>No más de una acción por visita. Si no tiene dueño, fecha y evidencia, no existe.</x:v>
      </x:c>
      <x:c r="F3" s="6" t="str">
        <x:v>No más de una acción por visita. Si no tiene dueño, fecha y evidencia, no existe.</x:v>
      </x:c>
      <x:c r="G3" s="6" t="str">
        <x:v>No más de una acción por visita. Si no tiene dueño, fecha y evidencia, no existe.</x:v>
      </x:c>
      <x:c r="H3" s="6" t="str">
        <x:v>No más de una acción por visita. Si no tiene dueño, fecha y evidencia, no existe.</x:v>
      </x:c>
      <x:c r="I3" s="6" t="str">
        <x:v>No más de una acción por visita. Si no tiene dueño, fecha y evidencia, no existe.</x:v>
      </x:c>
      <x:c r="J3" s="6" t="str">
        <x:v>No más de una acción por visita. Si no tiene dueño, fecha y evidencia, no existe.</x:v>
      </x:c>
      <x:c r="K3" s="6" t="str">
        <x:v>No más de una acción por visita. Si no tiene dueño, fecha y evidencia, no existe.</x:v>
      </x:c>
    </x:row>
    <x:row r="6" ht="30" customHeight="1">
      <x:c r="A6" s="14" t="str">
        <x:v>Fecha</x:v>
      </x:c>
      <x:c r="B6" s="14" t="str">
        <x:v>CeCo</x:v>
      </x:c>
      <x:c r="C6" s="14" t="str">
        <x:v>Tienda</x:v>
      </x:c>
      <x:c r="D6" s="14" t="str">
        <x:v>Foco</x:v>
      </x:c>
      <x:c r="E6" s="14" t="str">
        <x:v>Práctica / hábito</x:v>
      </x:c>
      <x:c r="F6" s="14" t="str">
        <x:v>Dueño</x:v>
      </x:c>
      <x:c r="G6" s="14" t="str">
        <x:v>Fecha objetivo</x:v>
      </x:c>
      <x:c r="H6" s="14" t="str">
        <x:v>Métrica</x:v>
      </x:c>
      <x:c r="I6" s="14" t="str">
        <x:v>Evidencia</x:v>
      </x:c>
      <x:c r="J6" s="14" t="str">
        <x:v>Apoyo requerido</x:v>
      </x:c>
      <x:c r="K6" s="14" t="str">
        <x:v>Estado</x:v>
      </x:c>
    </x:row>
    <x:row r="8" ht="34" customHeight="1">
      <x:c r="A8" s="26" t="str">
        <x:v>24/08/2026</x:v>
      </x:c>
      <x:c r="B8" s="26" t="str">
        <x:v>38604</x:v>
      </x:c>
      <x:c r="C8" s="26" t="str">
        <x:v>Cosmopol</x:v>
      </x:c>
      <x:c r="D8" s="26" t="str">
        <x:v>Desarrollo</x:v>
      </x:c>
      <x:c r="E8" s="26" t="str">
        <x:v>Mary delega una actividad de desarrollo con seguimiento</x:v>
      </x:c>
      <x:c r="F8" s="26" t="str">
        <x:v>Mary</x:v>
      </x:c>
      <x:c r="G8" s="26" t="str">
        <x:v>03/09/2026</x:v>
      </x:c>
      <x:c r="H8" s="26" t="str">
        <x:v>Actividad completada</x:v>
      </x:c>
      <x:c r="I8" s="26" t="str">
        <x:v>Retro del partner</x:v>
      </x:c>
      <x:c r="J8" s="26" t="str">
        <x:v>Capacitación</x:v>
      </x:c>
      <x:c r="K8" s="26" t="str">
        <x:v>En proceso</x:v>
      </x:c>
    </x:row>
    <x:row r="9" ht="34" customHeight="1">
      <x:c r="A9" s="26" t="str">
        <x:v>25/08/2026</x:v>
      </x:c>
      <x:c r="B9" s="26" t="str">
        <x:v>38515</x:v>
      </x:c>
      <x:c r="C9" s="26" t="str">
        <x:v>Patio Ecatepec</x:v>
      </x:c>
      <x:c r="D9" s="26" t="str">
        <x:v>Recuperación de órdenes</x:v>
      </x:c>
      <x:c r="E9" s="26" t="str">
        <x:v>SM lidera recuperación en turno PM</x:v>
      </x:c>
      <x:c r="F9" s="26" t="str">
        <x:v>SM</x:v>
      </x:c>
      <x:c r="G9" s="26" t="str">
        <x:v>04/09/2026</x:v>
      </x:c>
      <x:c r="H9" s="26" t="str">
        <x:v>Órdenes recuperadas</x:v>
      </x:c>
      <x:c r="I9" s="26" t="str">
        <x:v>WOE + observación</x:v>
      </x:c>
      <x:c r="J9" s="26" t="str">
        <x:v>Sistema</x:v>
      </x:c>
      <x:c r="K9" s="26" t="str">
        <x:v>Planeada</x:v>
      </x:c>
    </x:row>
    <x:row r="10" ht="34" customHeight="1">
      <x:c r="A10" s="26" t="str">
        <x:v>26/08/2026</x:v>
      </x:c>
      <x:c r="B10" s="26" t="str">
        <x:v>38368</x:v>
      </x:c>
      <x:c r="C10" s="26" t="str">
        <x:v>Luna Park</x:v>
      </x:c>
      <x:c r="D10" s="26" t="str">
        <x:v>Bebida</x:v>
      </x:c>
      <x:c r="E10" s="26" t="str">
        <x:v>SSV realiza una práctica de estándar en pico</x:v>
      </x:c>
      <x:c r="F10" s="26" t="str">
        <x:v>SSV</x:v>
      </x:c>
      <x:c r="G10" s="26" t="str">
        <x:v>05/09/2026</x:v>
      </x:c>
      <x:c r="H10" s="26" t="str">
        <x:v>Bebidas correctas</x:v>
      </x:c>
      <x:c r="I10" s="26" t="str">
        <x:v>Observación</x:v>
      </x:c>
      <x:c r="J10" s="26" t="str">
        <x:v>Capacitación</x:v>
      </x:c>
      <x:c r="K10" s="26" t="str">
        <x:v>Planeada</x:v>
      </x:c>
    </x:row>
    <x:row r="11" ht="34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 ht="34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 ht="34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 ht="34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</x:row>
    <x:row r="15" ht="34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</x:row>
    <x:row r="16" ht="34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</x:row>
    <x:row r="17" ht="34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</x:row>
    <x:row r="18" ht="34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</x:row>
    <x:row r="19" ht="34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</x:row>
    <x:row r="20" ht="34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</x:row>
    <x:row r="21" ht="34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</x:row>
    <x:row r="22" ht="34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</x:row>
    <x:row r="23" ht="34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</x:row>
    <x:row r="24" ht="34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</x:row>
    <x:row r="25" ht="34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</x:row>
    <x:row r="26" ht="34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</x:row>
    <x:row r="27" ht="34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</x:row>
    <x:row r="28" ht="34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</x:row>
    <x:row r="29" ht="34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</x:row>
    <x:row r="30" ht="34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</x:row>
    <x:row r="31" ht="34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</x:row>
    <x:row r="32" ht="34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</x:row>
    <x:row r="33" ht="34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</x:row>
    <x:row r="34" ht="34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</x:row>
    <x:row r="35" ht="34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</x:row>
    <x:row r="36" ht="34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</x:row>
    <x:row r="37" ht="34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</x:row>
    <x:row r="38" ht="34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</x:row>
    <x:row r="39" ht="34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</x:row>
    <x:row r="40" ht="34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</x:row>
    <x:row r="41" ht="34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</x:row>
    <x:row r="42" ht="34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</x:row>
    <x:row r="43" ht="34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</x:row>
    <x:row r="44" ht="34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</x:row>
    <x:row r="45" ht="34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</x:row>
    <x:row r="46" ht="34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</x:row>
    <x:row r="47" ht="34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</x:row>
    <x:row r="48" ht="34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</x:row>
    <x:row r="49" ht="34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</x:row>
    <x:row r="50" ht="34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</x:row>
    <x:row r="51" ht="34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</x:row>
    <x:row r="52" ht="34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</x:row>
    <x:row r="53" ht="34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</x:row>
    <x:row r="54" ht="34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</x:row>
    <x:row r="55" ht="34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</x:row>
    <x:row r="56" ht="34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</x:row>
    <x:row r="57" ht="34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</x:row>
    <x:row r="58" ht="34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</x:row>
    <x:row r="59" ht="34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</x:row>
    <x:row r="60" ht="34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</x:row>
    <x:row r="61" ht="34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</x:row>
    <x:row r="62" ht="34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</x:row>
    <x:row r="63" ht="34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</x:row>
    <x:row r="64" ht="34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</x:row>
    <x:row r="65" ht="34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</x:row>
    <x:row r="66" ht="34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</x:row>
    <x:row r="67" ht="34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</x:row>
    <x:row r="68" ht="34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</x:row>
    <x:row r="69" ht="34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</x:row>
    <x:row r="70" ht="34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</x:row>
    <x:row r="71" ht="34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</x:row>
    <x:row r="72" ht="34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</x:row>
    <x:row r="73" ht="34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</x:row>
    <x:row r="74" ht="34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</x:row>
    <x:row r="75" ht="34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</x:row>
    <x:row r="76" ht="34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</x:row>
    <x:row r="77" ht="34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</x:row>
    <x:row r="78" ht="34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</x:row>
    <x:row r="79" ht="34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</x:row>
    <x:row r="80" ht="34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</x:row>
    <x:row r="81" ht="34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</x:row>
    <x:row r="82" ht="34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</x:row>
    <x:row r="83" ht="34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</x:row>
    <x:row r="84" ht="34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</x:row>
    <x:row r="85" ht="34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</x:row>
    <x:row r="86" ht="34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</x:row>
    <x:row r="87" ht="34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</x:row>
    <x:row r="88" ht="34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</x:row>
    <x:row r="89" ht="34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</x:row>
    <x:row r="90" ht="34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</x:row>
    <x:row r="91" ht="34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</x:row>
    <x:row r="92" ht="34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</x:row>
    <x:row r="93" ht="34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</x:row>
    <x:row r="94" ht="34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</x:row>
    <x:row r="95" ht="34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</x:row>
    <x:row r="96" ht="34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</x:row>
    <x:row r="97" ht="34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</x:row>
    <x:row r="98" ht="34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</x:row>
    <x:row r="99" ht="34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</x:row>
    <x:row r="100" ht="34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</x:row>
    <x:row r="101" ht="34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</x:row>
    <x:row r="102" ht="34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</x:row>
    <x:row r="103" ht="34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</x:row>
    <x:row r="104" ht="34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</x:row>
    <x:row r="105" ht="34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</x:row>
    <x:row r="106" ht="34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</x:row>
    <x:row r="107" ht="34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</x:row>
  </x:sheetData>
  <x:mergeCells>
    <x:mergeCell ref="A2:K2"/>
    <x:mergeCell ref="A3:K3"/>
  </x:mergeCells>
  <x:dataValidations count="1">
    <x:dataValidation type="list" sqref="K8:K107">
      <x:formula1>"Planeada,En proceso,Cerrada,Bloqueada"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2" hidden="0" customWidth="1"/>
    <x:col min="4" max="4" width="23" hidden="0" customWidth="1"/>
    <x:col min="5" max="5" width="30" hidden="0" customWidth="1"/>
    <x:col min="6" max="6" width="22" hidden="0" customWidth="1"/>
    <x:col min="7" max="7" width="18" hidden="0" customWidth="1"/>
    <x:col min="8" max="8" width="16" hidden="0" customWidth="1"/>
    <x:col min="9" max="9" width="22" hidden="0" customWidth="1"/>
    <x:col min="10" max="10" width="15" hidden="0" customWidth="1"/>
    <x:col min="11" max="11" width="4" hidden="0" customWidth="1"/>
  </x:cols>
  <x:sheetData>
    <x:row r="2" ht="34" customHeight="1">
      <x:c r="A2" s="3" t="str">
        <x:v>SOPORTE · Quitar barreras de sistema</x:v>
      </x:c>
      <x:c r="B2" s="3" t="str">
        <x:v>SOPORTE · Quitar barreras de sistema</x:v>
      </x:c>
      <x:c r="C2" s="3" t="str">
        <x:v>SOPORTE · Quitar barreras de sistema</x:v>
      </x:c>
      <x:c r="D2" s="3" t="str">
        <x:v>SOPORTE · Quitar barreras de sistema</x:v>
      </x:c>
      <x:c r="E2" s="3" t="str">
        <x:v>SOPORTE · Quitar barreras de sistema</x:v>
      </x:c>
      <x:c r="F2" s="3" t="str">
        <x:v>SOPORTE · Quitar barreras de sistema</x:v>
      </x:c>
      <x:c r="G2" s="3" t="str">
        <x:v>SOPORTE · Quitar barreras de sistema</x:v>
      </x:c>
      <x:c r="H2" s="3" t="str">
        <x:v>SOPORTE · Quitar barreras de sistema</x:v>
      </x:c>
      <x:c r="I2" s="3" t="str">
        <x:v>SOPORTE · Quitar barreras de sistema</x:v>
      </x:c>
      <x:c r="J2" s="3" t="str">
        <x:v>SOPORTE · Quitar barreras de sistema</x:v>
      </x:c>
    </x:row>
    <x:row r="3" ht="26" customHeight="1">
      <x:c r="A3" s="6" t="str">
        <x:v>Solo escalar con impacto y evidencia. Cerrar con validación de la tienda.</x:v>
      </x:c>
      <x:c r="B3" s="6" t="str">
        <x:v>Solo escalar con impacto y evidencia. Cerrar con validación de la tienda.</x:v>
      </x:c>
      <x:c r="C3" s="6" t="str">
        <x:v>Solo escalar con impacto y evidencia. Cerrar con validación de la tienda.</x:v>
      </x:c>
      <x:c r="D3" s="6" t="str">
        <x:v>Solo escalar con impacto y evidencia. Cerrar con validación de la tienda.</x:v>
      </x:c>
      <x:c r="E3" s="6" t="str">
        <x:v>Solo escalar con impacto y evidencia. Cerrar con validación de la tienda.</x:v>
      </x:c>
      <x:c r="F3" s="6" t="str">
        <x:v>Solo escalar con impacto y evidencia. Cerrar con validación de la tienda.</x:v>
      </x:c>
      <x:c r="G3" s="6" t="str">
        <x:v>Solo escalar con impacto y evidencia. Cerrar con validación de la tienda.</x:v>
      </x:c>
      <x:c r="H3" s="6" t="str">
        <x:v>Solo escalar con impacto y evidencia. Cerrar con validación de la tienda.</x:v>
      </x:c>
      <x:c r="I3" s="6" t="str">
        <x:v>Solo escalar con impacto y evidencia. Cerrar con validación de la tienda.</x:v>
      </x:c>
      <x:c r="J3" s="6" t="str">
        <x:v>Solo escalar con impacto y evidencia. Cerrar con validación de la tienda.</x:v>
      </x:c>
    </x:row>
    <x:row r="6" ht="30" customHeight="1">
      <x:c r="A6" s="14" t="str">
        <x:v>Fecha</x:v>
      </x:c>
      <x:c r="B6" s="14" t="str">
        <x:v>Canal</x:v>
      </x:c>
      <x:c r="C6" s="14" t="str">
        <x:v>CeCo</x:v>
      </x:c>
      <x:c r="D6" s="14" t="str">
        <x:v>Tienda</x:v>
      </x:c>
      <x:c r="E6" s="14" t="str">
        <x:v>Barrera / impacto</x:v>
      </x:c>
      <x:c r="F6" s="14" t="str">
        <x:v>Evidencia</x:v>
      </x:c>
      <x:c r="G6" s="14" t="str">
        <x:v>Responsable</x:v>
      </x:c>
      <x:c r="H6" s="14" t="str">
        <x:v>ETA</x:v>
      </x:c>
      <x:c r="I6" s="14" t="str">
        <x:v>Validación de cierre</x:v>
      </x:c>
      <x:c r="J6" s="14" t="str">
        <x:v>Estado</x:v>
      </x:c>
    </x:row>
    <x:row r="8" ht="34" customHeight="1">
      <x:c r="A8" s="26" t="str">
        <x:v>24/08/2026</x:v>
      </x:c>
      <x:c r="B8" s="26" t="str">
        <x:v>UKG / programación</x:v>
      </x:c>
      <x:c r="C8" s="26" t="str">
        <x:v>38515</x:v>
      </x:c>
      <x:c r="D8" s="26" t="str">
        <x:v>Patio Ecatepec</x:v>
      </x:c>
      <x:c r="E8" s="26" t="str">
        <x:v>Cobertura no responde a necesidad de pico</x:v>
      </x:c>
      <x:c r="F8" s="26" t="str">
        <x:v>Gráfica + retro</x:v>
      </x:c>
      <x:c r="G8" s="26" t="str">
        <x:v>Por asignar</x:v>
      </x:c>
      <x:c r="H8" s="26" t="str"/>
      <x:c r="I8" s="26" t="str"/>
      <x:c r="J8" s="26" t="str">
        <x:v>Abierto</x:v>
      </x:c>
    </x:row>
    <x:row r="9" ht="34" customHeight="1">
      <x:c r="A9" s="26" t="str">
        <x:v>24/08/2026</x:v>
      </x:c>
      <x:c r="B9" s="26" t="str">
        <x:v>Mantenimiento</x:v>
      </x:c>
      <x:c r="C9" s="26" t="str">
        <x:v>38368</x:v>
      </x:c>
      <x:c r="D9" s="26" t="str">
        <x:v>Luna Park</x:v>
      </x:c>
      <x:c r="E9" s="26" t="str">
        <x:v>Barrera física afecta ejecución</x:v>
      </x:c>
      <x:c r="F9" s="26" t="str">
        <x:v>Foto + impacto</x:v>
      </x:c>
      <x:c r="G9" s="26" t="str">
        <x:v>Por asignar</x:v>
      </x:c>
      <x:c r="H9" s="26" t="str"/>
      <x:c r="I9" s="26" t="str"/>
      <x:c r="J9" s="26" t="str">
        <x:v>Abierto</x:v>
      </x:c>
    </x:row>
    <x:row r="10" ht="34" customHeight="1">
      <x:c r="A10" s="26" t="str">
        <x:v>25/08/2026</x:v>
      </x:c>
      <x:c r="B10" s="26" t="str">
        <x:v>COA / Distribuidor</x:v>
      </x:c>
      <x:c r="C10" s="26" t="str">
        <x:v>43193</x:v>
      </x:c>
      <x:c r="D10" s="26" t="str">
        <x:v>Cosmopol N1</x:v>
      </x:c>
      <x:c r="E10" s="26" t="str">
        <x:v>Disponibilidad de insumo crítico</x:v>
      </x:c>
      <x:c r="F10" s="26" t="str">
        <x:v>WOE + variación</x:v>
      </x:c>
      <x:c r="G10" s="26" t="str">
        <x:v>Por asignar</x:v>
      </x:c>
      <x:c r="H10" s="26" t="str"/>
      <x:c r="I10" s="26" t="str"/>
      <x:c r="J10" s="26" t="str">
        <x:v>Abierto</x:v>
      </x:c>
    </x:row>
    <x:row r="11" ht="34" customHeight="1">
      <x:c r="A11" s="26" t="str">
        <x:v>25/08/2026</x:v>
      </x:c>
      <x:c r="B11" s="26" t="str">
        <x:v>Capacitación</x:v>
      </x:c>
      <x:c r="C11" s="26" t="str">
        <x:v>38604</x:v>
      </x:c>
      <x:c r="D11" s="26" t="str">
        <x:v>Cosmopol</x:v>
      </x:c>
      <x:c r="E11" s="26" t="str">
        <x:v>Actividad de desarrollo para Mary y cobertura</x:v>
      </x:c>
      <x:c r="F11" s="26" t="str">
        <x:v>Plan + evidencia</x:v>
      </x:c>
      <x:c r="G11" s="26" t="str">
        <x:v>DM</x:v>
      </x:c>
      <x:c r="H11" s="26" t="str"/>
      <x:c r="I11" s="26" t="str"/>
      <x:c r="J11" s="26" t="str">
        <x:v>Abierto</x:v>
      </x:c>
    </x:row>
    <x:row r="12" ht="34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 ht="34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</x:row>
    <x:row r="14" ht="34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</x:row>
    <x:row r="15" ht="34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 ht="34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</x:row>
    <x:row r="17" ht="34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</x:row>
    <x:row r="18" ht="34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</x:row>
    <x:row r="19" ht="34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</x:row>
    <x:row r="20" ht="34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</x:row>
    <x:row r="21" ht="34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</x:row>
    <x:row r="22" ht="34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</x:row>
    <x:row r="23" ht="34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</x:row>
    <x:row r="24" ht="34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</x:row>
    <x:row r="25" ht="34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</x:row>
    <x:row r="26" ht="34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</x:row>
    <x:row r="27" ht="34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</x:row>
    <x:row r="28" ht="34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</x:row>
    <x:row r="29" ht="34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</x:row>
    <x:row r="30" ht="34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</x:row>
    <x:row r="31" ht="34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</x:row>
    <x:row r="32" ht="34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</x:row>
    <x:row r="33" ht="34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</x:row>
    <x:row r="34" ht="34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</x:row>
    <x:row r="35" ht="34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</x:row>
    <x:row r="36" ht="34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</x:row>
    <x:row r="37" ht="34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</x:row>
    <x:row r="38" ht="34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</x:row>
    <x:row r="39" ht="34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</x:row>
    <x:row r="40" ht="34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</x:row>
    <x:row r="41" ht="34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</x:row>
    <x:row r="42" ht="34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</x:row>
    <x:row r="43" ht="34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</x:row>
    <x:row r="44" ht="34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</x:row>
    <x:row r="45" ht="34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</x:row>
    <x:row r="46" ht="34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</x:row>
    <x:row r="47" ht="34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</x:row>
    <x:row r="48" ht="34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</x:row>
    <x:row r="49" ht="34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</x:row>
    <x:row r="50" ht="34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</x:row>
    <x:row r="51" ht="34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</x:row>
    <x:row r="52" ht="34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</x:row>
    <x:row r="53" ht="34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</x:row>
    <x:row r="54" ht="34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</x:row>
    <x:row r="55" ht="34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</x:row>
    <x:row r="56" ht="34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</x:row>
    <x:row r="57" ht="34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</x:row>
    <x:row r="58" ht="34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</x:row>
    <x:row r="59" ht="34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</x:row>
    <x:row r="60" ht="34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</x:row>
    <x:row r="61" ht="34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</x:row>
    <x:row r="62" ht="34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</x:row>
    <x:row r="63" ht="34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</x:row>
    <x:row r="64" ht="34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</x:row>
    <x:row r="65" ht="34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</x:row>
    <x:row r="66" ht="34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</x:row>
    <x:row r="67" ht="34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</x:row>
    <x:row r="68" ht="34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</x:row>
    <x:row r="69" ht="34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</x:row>
    <x:row r="70" ht="34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</x:row>
    <x:row r="71" ht="34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</x:row>
    <x:row r="72" ht="34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</x:row>
    <x:row r="73" ht="34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</x:row>
    <x:row r="74" ht="34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</x:row>
    <x:row r="75" ht="34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</x:row>
    <x:row r="76" ht="34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</x:row>
    <x:row r="77" ht="34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</x:row>
    <x:row r="78" ht="34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</x:row>
    <x:row r="79" ht="34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</x:row>
    <x:row r="80" ht="34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</x:row>
    <x:row r="81" ht="34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</x:row>
    <x:row r="82" ht="34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</x:row>
    <x:row r="83" ht="34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</x:row>
    <x:row r="84" ht="34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</x:row>
    <x:row r="85" ht="34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</x:row>
    <x:row r="86" ht="34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</x:row>
    <x:row r="87" ht="34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</x:row>
    <x:row r="88" ht="34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</x:row>
    <x:row r="89" ht="34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</x:row>
    <x:row r="90" ht="34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</x:row>
    <x:row r="91" ht="34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</x:row>
    <x:row r="92" ht="34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</x:row>
    <x:row r="93" ht="34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</x:row>
    <x:row r="94" ht="34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</x:row>
    <x:row r="95" ht="34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</x:row>
    <x:row r="96" ht="34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</x:row>
    <x:row r="97" ht="34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</x:row>
    <x:row r="98" ht="34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</x:row>
    <x:row r="99" ht="34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</x:row>
    <x:row r="100" ht="34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</x:row>
    <x:row r="101" ht="34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</x:row>
    <x:row r="102" ht="34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</x:row>
    <x:row r="103" ht="34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</x:row>
    <x:row r="104" ht="34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</x:row>
    <x:row r="105" ht="34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</x:row>
    <x:row r="106" ht="34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</x:row>
    <x:row r="107" ht="34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</x:row>
  </x:sheetData>
  <x:mergeCells>
    <x:mergeCell ref="A2:J2"/>
    <x:mergeCell ref="A3:J3"/>
  </x:mergeCells>
  <x:dataValidations count="2">
    <x:dataValidation type="list" sqref="B8:B107">
      <x:formula1>"Sistema,Mantenimiento,COA / Distribuidor,Capacitación,UKG / programación,Duty Roster / limpieza"</x:formula1>
    </x:dataValidation>
    <x:dataValidation type="list" sqref="J8:J107">
      <x:formula1>"Abierto,En seguimiento,Cerrado,Escalado"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58" hidden="0" customWidth="1"/>
    <x:col min="4" max="4" width="18" hidden="0" customWidth="1"/>
    <x:col min="5" max="5" width="16" hidden="0" customWidth="1"/>
    <x:col min="6" max="6" width="26" hidden="0" customWidth="1"/>
    <x:col min="7" max="7" width="30" hidden="0" customWidth="1"/>
    <x:col min="8" max="8" width="4" hidden="0" customWidth="1"/>
  </x:cols>
  <x:sheetData>
    <x:row r="2" ht="34" customHeight="1">
      <x:c r="A2" s="3" t="str">
        <x:v>RADAR DE SISTEMAS · Del CSV a una decisión</x:v>
      </x:c>
      <x:c r="B2" s="3" t="str">
        <x:v>RADAR DE SISTEMAS · Del CSV a una decisión</x:v>
      </x:c>
      <x:c r="C2" s="3" t="str">
        <x:v>RADAR DE SISTEMAS · Del CSV a una decisión</x:v>
      </x:c>
      <x:c r="D2" s="3" t="str">
        <x:v>RADAR DE SISTEMAS · Del CSV a una decisión</x:v>
      </x:c>
      <x:c r="E2" s="3" t="str">
        <x:v>RADAR DE SISTEMAS · Del CSV a una decisión</x:v>
      </x:c>
      <x:c r="F2" s="3" t="str">
        <x:v>RADAR DE SISTEMAS · Del CSV a una decisión</x:v>
      </x:c>
      <x:c r="G2" s="3" t="str">
        <x:v>RADAR DE SISTEMAS · Del CSV a una decisión</x:v>
      </x:c>
    </x:row>
    <x:row r="3" ht="26" customHeight="1">
      <x:c r="A3" s="6" t="str">
        <x:v>Fuente: Tipo Visitas DM.csv. La señal orienta la visita; valida en tienda antes de decidir.</x:v>
      </x:c>
      <x:c r="B3" s="6" t="str">
        <x:v>Fuente: Tipo Visitas DM.csv. La señal orienta la visita; valida en tienda antes de decidir.</x:v>
      </x:c>
      <x:c r="C3" s="6" t="str">
        <x:v>Fuente: Tipo Visitas DM.csv. La señal orienta la visita; valida en tienda antes de decidir.</x:v>
      </x:c>
      <x:c r="D3" s="6" t="str">
        <x:v>Fuente: Tipo Visitas DM.csv. La señal orienta la visita; valida en tienda antes de decidir.</x:v>
      </x:c>
      <x:c r="E3" s="6" t="str">
        <x:v>Fuente: Tipo Visitas DM.csv. La señal orienta la visita; valida en tienda antes de decidir.</x:v>
      </x:c>
      <x:c r="F3" s="6" t="str">
        <x:v>Fuente: Tipo Visitas DM.csv. La señal orienta la visita; valida en tienda antes de decidir.</x:v>
      </x:c>
      <x:c r="G3" s="6" t="str">
        <x:v>Fuente: Tipo Visitas DM.csv. La señal orienta la visita; valida en tienda antes de decidir.</x:v>
      </x:c>
    </x:row>
    <x:row r="6" ht="30" customHeight="1">
      <x:c r="A6" s="14" t="str">
        <x:v>Actividad</x:v>
      </x:c>
      <x:c r="B6" s="14" t="str">
        <x:v>Título Página</x:v>
      </x:c>
      <x:c r="C6" s="14" t="str">
        <x:v>Pregunta</x:v>
      </x:c>
      <x:c r="D6" s="14" t="str">
        <x:v>Tipo de Pregunta</x:v>
      </x:c>
      <x:c r="E6" s="14" t="str">
        <x:v>Señal CSV</x:v>
      </x:c>
      <x:c r="F6" s="14" t="str">
        <x:v>Sistema a revisar</x:v>
      </x:c>
      <x:c r="G6" s="14" t="str">
        <x:v>Pregunta DM</x:v>
      </x:c>
    </x:row>
    <x:row r="8" ht="48" customHeight="1">
      <x:c r="A8" s="26" t="str">
        <x:v>System Check Inventario | Distrital</x:v>
      </x:c>
      <x:c r="B8" s="26" t="str">
        <x:v>Las áreas de almacenamiento del back</x:v>
      </x:c>
      <x:c r="C8" s="26" t="str">
        <x:v>Las áreas de almacenamiento en el back están limpias, organizadas y señalizadas con máximos y mínimos.</x:v>
      </x:c>
      <x:c r="D8" s="26" t="str">
        <x:v>MultipleChoice</x:v>
      </x:c>
      <x:c r="E8" s="26" t="str">
        <x:v>68.4%</x:v>
      </x:c>
      <x:c r="F8" s="26" t="str">
        <x:v>Inventario / back</x:v>
      </x:c>
      <x:c r="G8" s="26" t="str">
        <x:v>¿Qué condición impide que este sistema funcione hoy y quién la corrige?</x:v>
      </x:c>
    </x:row>
    <x:row r="9" ht="48" customHeight="1">
      <x:c r="A9" s="26" t="str">
        <x:v>System Check programación | Distrital</x:v>
      </x:c>
      <x:c r="B9" s="26" t="str">
        <x:v>COBERTURA</x:v>
      </x:c>
      <x:c r="C9" s="26" t="str">
        <x:v>La programación cubre disponibilidad y necesidad de clientes y partners.</x:v>
      </x:c>
      <x:c r="D9" s="26" t="str">
        <x:v>MultipleChoice</x:v>
      </x:c>
      <x:c r="E9" s="26" t="str">
        <x:v>79.2%</x:v>
      </x:c>
      <x:c r="F9" s="26" t="str">
        <x:v>UKG / cobertura</x:v>
      </x:c>
      <x:c r="G9" s="26" t="str">
        <x:v>¿Qué turno queda descubierto y qué ajuste harás antes del próximo pico?</x:v>
      </x:c>
    </x:row>
    <x:row r="10" ht="48" customHeight="1">
      <x:c r="A10" s="26" t="str">
        <x:v>System Check manejo de efectivo | Distrital</x:v>
      </x:c>
      <x:c r="B10" s="26" t="str">
        <x:v>Garantizar la seguridad del efectivo</x:v>
      </x:c>
      <x:c r="C10" s="26" t="str">
        <x:v>Los partners trabajan en las cajas que tienen asignadas.</x:v>
      </x:c>
      <x:c r="D10" s="26" t="str">
        <x:v>MultipleChoice</x:v>
      </x:c>
      <x:c r="E10" s="26" t="str">
        <x:v>78.2%</x:v>
      </x:c>
      <x:c r="F10" s="26" t="str">
        <x:v>Efectivo</x:v>
      </x:c>
      <x:c r="G10" s="26" t="str">
        <x:v>¿Qué control no se está ejecutando de forma consistente?</x:v>
      </x:c>
    </x:row>
    <x:row r="11" ht="48" customHeight="1">
      <x:c r="A11" s="26" t="str">
        <x:v>System Check RSA</x:v>
      </x:c>
      <x:c r="B11" s="26" t="str">
        <x:v>Visita RSA (factores críticos)</x:v>
      </x:c>
      <x:c r="C11" s="26" t="str">
        <x:v>Solo se utilizan alimentos con caducidad y/o vida secundaria vigente y legible.</x:v>
      </x:c>
      <x:c r="D11" s="26" t="str">
        <x:v>MultipleChoice</x:v>
      </x:c>
      <x:c r="E11" s="26" t="str">
        <x:v>88.2%</x:v>
      </x:c>
      <x:c r="F11" s="26" t="str">
        <x:v>RSA</x:v>
      </x:c>
      <x:c r="G11" s="26" t="str">
        <x:v>¿Dónde está el mayor riesgo y cómo lo previene el líder hoy?</x:v>
      </x:c>
    </x:row>
    <x:row r="12" ht="48" customHeight="1">
      <x:c r="A12" s="26" t="str">
        <x:v>SOA | Distrital</x:v>
      </x:c>
      <x:c r="B12" s="26" t="str">
        <x:v>Experiencia de servicio</x:v>
      </x:c>
      <x:c r="C12" s="26" t="str">
        <x:v>Los baristas ofrecen un saludo amistoso y hacen de cada momento algo especial.</x:v>
      </x:c>
      <x:c r="D12" s="26" t="str">
        <x:v>MultipleChoice</x:v>
      </x:c>
      <x:c r="E12" s="26" t="str">
        <x:v>90.9%</x:v>
      </x:c>
      <x:c r="F12" s="26" t="str">
        <x:v>Experiencia</x:v>
      </x:c>
      <x:c r="G12" s="26" t="str">
        <x:v>¿Qué comportamiento del equipo hará visible la experiencia en el próximo pico?</x:v>
      </x:c>
    </x:row>
    <x:row r="13" ht="48" customHeight="1">
      <x:c r="A13" s="26" t="str">
        <x:v>SOA | Gerente de Unidad</x:v>
      </x:c>
      <x:c r="B13" s="26" t="str">
        <x:v>Calidad de bebidas</x:v>
      </x:c>
      <x:c r="C13" s="26" t="str">
        <x:v>Estándar de ejecución de bebida en el momento de mayor demanda.</x:v>
      </x:c>
      <x:c r="D13" s="26" t="str">
        <x:v>MultipleChoice</x:v>
      </x:c>
      <x:c r="E13" s="26" t="str">
        <x:v>Referencia</x:v>
      </x:c>
      <x:c r="F13" s="26" t="str">
        <x:v>Bebida</x:v>
      </x:c>
      <x:c r="G13" s="26" t="str">
        <x:v>¿Qué práctica concreta elevará la calidad hoy?</x:v>
      </x:c>
    </x:row>
    <x:row r="14" ht="48" customHeight="1">
      <x:c r="A14" s="26" t="str">
        <x:v>System Check canales digitales</x:v>
      </x:c>
      <x:c r="B14" s="26" t="str">
        <x:v>Preparación para la entrega</x:v>
      </x:c>
      <x:c r="C14" s="26" t="str">
        <x:v>La tienda cuenta con servicio WEB estable para mantenerse conectada.</x:v>
      </x:c>
      <x:c r="D14" s="26" t="str">
        <x:v>Instruction</x:v>
      </x:c>
      <x:c r="E14" s="26" t="str">
        <x:v>87.2%</x:v>
      </x:c>
      <x:c r="F14" s="26" t="str">
        <x:v>Canales digitales</x:v>
      </x:c>
      <x:c r="G14" s="26" t="str">
        <x:v>¿Qué incidencia debe escalarse y cuál es su impacto en la orden?</x:v>
      </x:c>
    </x:row>
    <x:row r="15" ht="48" customHeight="1">
      <x:c r="A15" s="26" t="str">
        <x:v>Conexión Rápida | Distrital</x:v>
      </x:c>
      <x:c r="B15" s="26" t="str">
        <x:v>Conexión rápida</x:v>
      </x:c>
      <x:c r="C15" s="26" t="str">
        <x:v>¿Cuál es el objetivo de tu visita el día de hoy?</x:v>
      </x:c>
      <x:c r="D15" s="26" t="str">
        <x:v>Simple</x:v>
      </x:c>
      <x:c r="E15" s="26" t="str">
        <x:v>0.0%</x:v>
      </x:c>
      <x:c r="F15" s="26" t="str">
        <x:v>Claridad de visita</x:v>
      </x:c>
      <x:c r="G15" s="26" t="str">
        <x:v>¿Qué resultado o sistema debes mover hoy?</x:v>
      </x:c>
    </x:row>
  </x:sheetData>
  <x:mergeCells>
    <x:mergeCell ref="A2:G2"/>
    <x:mergeCell ref="A3:G3"/>
  </x:mergeCells>
  <x:pageMargins left="0.7" right="0.7" top="0.75" bottom="0.75" header="0.3" footer="0.3"/>
</x:worksheet>
</file>